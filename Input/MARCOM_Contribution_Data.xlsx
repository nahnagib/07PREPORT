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07PREPORT\Input\"/>
    </mc:Choice>
  </mc:AlternateContent>
  <xr:revisionPtr revIDLastSave="0" documentId="13_ncr:1_{7EA844D9-2D88-4C8D-93A1-ADCDE095D379}" xr6:coauthVersionLast="47" xr6:coauthVersionMax="47" xr10:uidLastSave="{00000000-0000-0000-0000-000000000000}"/>
  <bookViews>
    <workbookView xWindow="28680" yWindow="-45" windowWidth="29040" windowHeight="15720" tabRatio="500" firstSheet="1" activeTab="4" xr2:uid="{00000000-000D-0000-FFFF-FFFF00000000}"/>
  </bookViews>
  <sheets>
    <sheet name="Instructions" sheetId="1" r:id="rId1"/>
    <sheet name="P1 - MARCOM Spending" sheetId="2" r:id="rId2"/>
    <sheet name="P2 - Media Campaigns" sheetId="3" r:id="rId3"/>
    <sheet name="P3 - Digital Performance" sheetId="4" r:id="rId4"/>
    <sheet name="P4 - Trade Marketing" sheetId="5" r:id="rId5"/>
    <sheet name="Lis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1" i="4" l="1"/>
  <c r="M11" i="4" s="1"/>
  <c r="L12" i="4"/>
  <c r="M12" i="4" s="1"/>
  <c r="L15" i="4"/>
  <c r="M15" i="4" s="1"/>
  <c r="L16" i="4"/>
  <c r="M16" i="4" s="1"/>
  <c r="L17" i="4"/>
  <c r="M17" i="4" s="1"/>
  <c r="L23" i="4"/>
  <c r="M23" i="4" s="1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K29" i="5"/>
  <c r="L29" i="5" s="1"/>
  <c r="H29" i="5"/>
  <c r="F29" i="5"/>
  <c r="D29" i="5"/>
  <c r="L28" i="5"/>
  <c r="K28" i="5"/>
  <c r="H28" i="5"/>
  <c r="F28" i="5"/>
  <c r="D28" i="5"/>
  <c r="K27" i="5"/>
  <c r="L27" i="5" s="1"/>
  <c r="H27" i="5"/>
  <c r="F27" i="5"/>
  <c r="D27" i="5"/>
  <c r="L26" i="5"/>
  <c r="K26" i="5"/>
  <c r="H26" i="5"/>
  <c r="F26" i="5"/>
  <c r="D26" i="5"/>
  <c r="K25" i="5"/>
  <c r="L25" i="5" s="1"/>
  <c r="H25" i="5"/>
  <c r="F25" i="5"/>
  <c r="D25" i="5"/>
  <c r="K24" i="5"/>
  <c r="L24" i="5" s="1"/>
  <c r="H24" i="5"/>
  <c r="F24" i="5"/>
  <c r="D24" i="5"/>
  <c r="K23" i="5"/>
  <c r="L23" i="5" s="1"/>
  <c r="H23" i="5"/>
  <c r="F23" i="5"/>
  <c r="D23" i="5"/>
  <c r="K22" i="5"/>
  <c r="L22" i="5" s="1"/>
  <c r="H22" i="5"/>
  <c r="F22" i="5"/>
  <c r="D22" i="5"/>
  <c r="K21" i="5"/>
  <c r="L21" i="5" s="1"/>
  <c r="H21" i="5"/>
  <c r="F21" i="5"/>
  <c r="D21" i="5"/>
  <c r="K20" i="5"/>
  <c r="L20" i="5" s="1"/>
  <c r="H20" i="5"/>
  <c r="F20" i="5"/>
  <c r="D20" i="5"/>
  <c r="L19" i="5"/>
  <c r="K19" i="5"/>
  <c r="H19" i="5"/>
  <c r="F19" i="5"/>
  <c r="D19" i="5"/>
  <c r="K18" i="5"/>
  <c r="L18" i="5" s="1"/>
  <c r="H18" i="5"/>
  <c r="F18" i="5"/>
  <c r="D18" i="5"/>
  <c r="L17" i="5"/>
  <c r="K17" i="5"/>
  <c r="H17" i="5"/>
  <c r="F17" i="5"/>
  <c r="D17" i="5"/>
  <c r="L16" i="5"/>
  <c r="K16" i="5"/>
  <c r="H16" i="5"/>
  <c r="F16" i="5"/>
  <c r="D16" i="5"/>
  <c r="L15" i="5"/>
  <c r="K15" i="5"/>
  <c r="H15" i="5"/>
  <c r="F15" i="5"/>
  <c r="D15" i="5"/>
  <c r="L14" i="5"/>
  <c r="K14" i="5"/>
  <c r="H14" i="5"/>
  <c r="F14" i="5"/>
  <c r="D14" i="5"/>
  <c r="K13" i="5"/>
  <c r="L13" i="5" s="1"/>
  <c r="H13" i="5"/>
  <c r="F13" i="5"/>
  <c r="D13" i="5"/>
  <c r="K12" i="5"/>
  <c r="L12" i="5" s="1"/>
  <c r="H12" i="5"/>
  <c r="F12" i="5"/>
  <c r="D12" i="5"/>
  <c r="K11" i="5"/>
  <c r="L11" i="5" s="1"/>
  <c r="H11" i="5"/>
  <c r="F11" i="5"/>
  <c r="D11" i="5"/>
  <c r="K10" i="5"/>
  <c r="L10" i="5" s="1"/>
  <c r="H10" i="5"/>
  <c r="F10" i="5"/>
  <c r="D10" i="5"/>
  <c r="K9" i="5"/>
  <c r="L9" i="5" s="1"/>
  <c r="H9" i="5"/>
  <c r="F9" i="5"/>
  <c r="D9" i="5"/>
  <c r="K8" i="5"/>
  <c r="L8" i="5" s="1"/>
  <c r="H8" i="5"/>
  <c r="F8" i="5"/>
  <c r="D8" i="5"/>
  <c r="K7" i="5"/>
  <c r="L7" i="5" s="1"/>
  <c r="H7" i="5"/>
  <c r="F7" i="5"/>
  <c r="D7" i="5"/>
  <c r="K6" i="5"/>
  <c r="L6" i="5" s="1"/>
  <c r="H6" i="5"/>
  <c r="F6" i="5"/>
  <c r="D6" i="5"/>
  <c r="I63" i="4"/>
  <c r="H63" i="4"/>
  <c r="G63" i="4"/>
  <c r="I62" i="4"/>
  <c r="H62" i="4"/>
  <c r="G62" i="4"/>
  <c r="H61" i="4"/>
  <c r="I61" i="4" s="1"/>
  <c r="G61" i="4"/>
  <c r="H60" i="4"/>
  <c r="I60" i="4" s="1"/>
  <c r="G60" i="4"/>
  <c r="I59" i="4"/>
  <c r="H59" i="4"/>
  <c r="G59" i="4"/>
  <c r="I58" i="4"/>
  <c r="H58" i="4"/>
  <c r="G58" i="4"/>
  <c r="H57" i="4"/>
  <c r="I57" i="4" s="1"/>
  <c r="G57" i="4"/>
  <c r="H56" i="4"/>
  <c r="I56" i="4" s="1"/>
  <c r="G56" i="4"/>
  <c r="I55" i="4"/>
  <c r="H55" i="4"/>
  <c r="G55" i="4"/>
  <c r="I54" i="4"/>
  <c r="H54" i="4"/>
  <c r="G54" i="4"/>
  <c r="H53" i="4"/>
  <c r="I53" i="4" s="1"/>
  <c r="G53" i="4"/>
  <c r="H52" i="4"/>
  <c r="I52" i="4" s="1"/>
  <c r="G52" i="4"/>
  <c r="I51" i="4"/>
  <c r="H51" i="4"/>
  <c r="G51" i="4"/>
  <c r="I50" i="4"/>
  <c r="H50" i="4"/>
  <c r="G50" i="4"/>
  <c r="H49" i="4"/>
  <c r="I49" i="4" s="1"/>
  <c r="G49" i="4"/>
  <c r="H48" i="4"/>
  <c r="I48" i="4" s="1"/>
  <c r="G48" i="4"/>
  <c r="I47" i="4"/>
  <c r="H47" i="4"/>
  <c r="G47" i="4"/>
  <c r="I46" i="4"/>
  <c r="H46" i="4"/>
  <c r="G46" i="4"/>
  <c r="H45" i="4"/>
  <c r="I45" i="4" s="1"/>
  <c r="G45" i="4"/>
  <c r="H44" i="4"/>
  <c r="I44" i="4" s="1"/>
  <c r="G44" i="4"/>
  <c r="I43" i="4"/>
  <c r="H43" i="4"/>
  <c r="G43" i="4"/>
  <c r="I42" i="4"/>
  <c r="H42" i="4"/>
  <c r="G42" i="4"/>
  <c r="H41" i="4"/>
  <c r="I41" i="4" s="1"/>
  <c r="G41" i="4"/>
  <c r="I40" i="4"/>
  <c r="K35" i="4"/>
  <c r="J35" i="4"/>
  <c r="I35" i="4"/>
  <c r="L35" i="4" s="1"/>
  <c r="M35" i="4" s="1"/>
  <c r="J34" i="4"/>
  <c r="K34" i="4" s="1"/>
  <c r="I34" i="4"/>
  <c r="L34" i="4" s="1"/>
  <c r="M34" i="4" s="1"/>
  <c r="K33" i="4"/>
  <c r="J33" i="4"/>
  <c r="I33" i="4"/>
  <c r="L33" i="4" s="1"/>
  <c r="M33" i="4" s="1"/>
  <c r="K32" i="4"/>
  <c r="J32" i="4"/>
  <c r="I32" i="4"/>
  <c r="L32" i="4" s="1"/>
  <c r="M32" i="4" s="1"/>
  <c r="K31" i="4"/>
  <c r="J31" i="4"/>
  <c r="I31" i="4"/>
  <c r="L31" i="4" s="1"/>
  <c r="M31" i="4" s="1"/>
  <c r="L30" i="4"/>
  <c r="M30" i="4" s="1"/>
  <c r="J30" i="4"/>
  <c r="K30" i="4" s="1"/>
  <c r="I30" i="4"/>
  <c r="J29" i="4"/>
  <c r="K29" i="4" s="1"/>
  <c r="I29" i="4"/>
  <c r="L29" i="4" s="1"/>
  <c r="M29" i="4" s="1"/>
  <c r="L28" i="4"/>
  <c r="M28" i="4" s="1"/>
  <c r="J28" i="4"/>
  <c r="K28" i="4" s="1"/>
  <c r="I28" i="4"/>
  <c r="J27" i="4"/>
  <c r="K27" i="4" s="1"/>
  <c r="I27" i="4"/>
  <c r="L27" i="4" s="1"/>
  <c r="M27" i="4" s="1"/>
  <c r="J26" i="4"/>
  <c r="K26" i="4" s="1"/>
  <c r="I26" i="4"/>
  <c r="L26" i="4" s="1"/>
  <c r="M26" i="4" s="1"/>
  <c r="J25" i="4"/>
  <c r="K25" i="4" s="1"/>
  <c r="I25" i="4"/>
  <c r="L25" i="4" s="1"/>
  <c r="M25" i="4" s="1"/>
  <c r="J24" i="4"/>
  <c r="K24" i="4" s="1"/>
  <c r="I24" i="4"/>
  <c r="L24" i="4" s="1"/>
  <c r="M24" i="4" s="1"/>
  <c r="J23" i="4"/>
  <c r="K23" i="4" s="1"/>
  <c r="J22" i="4"/>
  <c r="K22" i="4" s="1"/>
  <c r="L22" i="4"/>
  <c r="M22" i="4" s="1"/>
  <c r="J21" i="4"/>
  <c r="K21" i="4" s="1"/>
  <c r="L21" i="4"/>
  <c r="M21" i="4" s="1"/>
  <c r="J20" i="4"/>
  <c r="K20" i="4" s="1"/>
  <c r="L20" i="4"/>
  <c r="M20" i="4" s="1"/>
  <c r="J19" i="4"/>
  <c r="K19" i="4" s="1"/>
  <c r="L19" i="4"/>
  <c r="M19" i="4" s="1"/>
  <c r="J18" i="4"/>
  <c r="K18" i="4" s="1"/>
  <c r="L18" i="4"/>
  <c r="M18" i="4" s="1"/>
  <c r="J17" i="4"/>
  <c r="K17" i="4" s="1"/>
  <c r="J16" i="4"/>
  <c r="K16" i="4" s="1"/>
  <c r="J15" i="4"/>
  <c r="K15" i="4" s="1"/>
  <c r="J14" i="4"/>
  <c r="K14" i="4" s="1"/>
  <c r="L14" i="4"/>
  <c r="M14" i="4" s="1"/>
  <c r="J13" i="4"/>
  <c r="K13" i="4" s="1"/>
  <c r="L13" i="4"/>
  <c r="M13" i="4" s="1"/>
  <c r="J12" i="4"/>
  <c r="K12" i="4" s="1"/>
  <c r="J11" i="4"/>
  <c r="K11" i="4" s="1"/>
  <c r="J10" i="4"/>
  <c r="K10" i="4" s="1"/>
  <c r="L10" i="4"/>
  <c r="M10" i="4" s="1"/>
  <c r="J9" i="4"/>
  <c r="K9" i="4" s="1"/>
  <c r="L9" i="4"/>
  <c r="M9" i="4" s="1"/>
  <c r="J8" i="4"/>
  <c r="K8" i="4" s="1"/>
  <c r="L8" i="4"/>
  <c r="M8" i="4" s="1"/>
  <c r="J7" i="4"/>
  <c r="K7" i="4" s="1"/>
  <c r="L7" i="4"/>
  <c r="M7" i="4" s="1"/>
  <c r="J6" i="4"/>
  <c r="K6" i="4" s="1"/>
  <c r="L6" i="4"/>
  <c r="M6" i="4" s="1"/>
  <c r="J25" i="3"/>
  <c r="K25" i="3" s="1"/>
  <c r="I25" i="3"/>
  <c r="H25" i="3"/>
  <c r="K24" i="3"/>
  <c r="J24" i="3"/>
  <c r="I24" i="3"/>
  <c r="H24" i="3"/>
  <c r="K23" i="3"/>
  <c r="J23" i="3"/>
  <c r="I23" i="3"/>
  <c r="H23" i="3"/>
  <c r="J22" i="3"/>
  <c r="K22" i="3" s="1"/>
  <c r="I22" i="3"/>
  <c r="H22" i="3"/>
  <c r="K21" i="3"/>
  <c r="J21" i="3"/>
  <c r="I21" i="3"/>
  <c r="H21" i="3"/>
  <c r="K20" i="3"/>
  <c r="J20" i="3"/>
  <c r="I20" i="3"/>
  <c r="H20" i="3"/>
  <c r="J19" i="3"/>
  <c r="K19" i="3" s="1"/>
  <c r="I19" i="3"/>
  <c r="H19" i="3"/>
  <c r="K18" i="3"/>
  <c r="J18" i="3"/>
  <c r="I18" i="3"/>
  <c r="H18" i="3"/>
  <c r="K17" i="3"/>
  <c r="J17" i="3"/>
  <c r="I17" i="3"/>
  <c r="H17" i="3"/>
  <c r="J16" i="3"/>
  <c r="K16" i="3" s="1"/>
  <c r="I16" i="3"/>
  <c r="H16" i="3"/>
  <c r="K15" i="3"/>
  <c r="J15" i="3"/>
  <c r="I15" i="3"/>
  <c r="H15" i="3"/>
  <c r="K14" i="3"/>
  <c r="J14" i="3"/>
  <c r="I14" i="3"/>
  <c r="H14" i="3"/>
  <c r="J13" i="3"/>
  <c r="K13" i="3" s="1"/>
  <c r="I13" i="3"/>
  <c r="H13" i="3"/>
  <c r="K12" i="3"/>
  <c r="J12" i="3"/>
  <c r="I12" i="3"/>
  <c r="H12" i="3"/>
  <c r="K11" i="3"/>
  <c r="J11" i="3"/>
  <c r="I11" i="3"/>
  <c r="H11" i="3"/>
  <c r="J10" i="3"/>
  <c r="K10" i="3" s="1"/>
  <c r="I10" i="3"/>
  <c r="H10" i="3"/>
  <c r="K9" i="3"/>
  <c r="J9" i="3"/>
  <c r="I9" i="3"/>
  <c r="H9" i="3"/>
  <c r="J8" i="3"/>
  <c r="K8" i="3" s="1"/>
  <c r="I8" i="3"/>
  <c r="H8" i="3"/>
  <c r="J7" i="3"/>
  <c r="K7" i="3" s="1"/>
  <c r="I7" i="3"/>
  <c r="H7" i="3"/>
  <c r="J6" i="3"/>
  <c r="K6" i="3" s="1"/>
  <c r="I6" i="3"/>
  <c r="H6" i="3"/>
  <c r="U35" i="2"/>
  <c r="T35" i="2"/>
  <c r="R35" i="2"/>
  <c r="S35" i="2" s="1"/>
  <c r="Q35" i="2"/>
  <c r="P35" i="2"/>
  <c r="O35" i="2"/>
  <c r="M35" i="2"/>
  <c r="N35" i="2" s="1"/>
  <c r="T34" i="2"/>
  <c r="U34" i="2" s="1"/>
  <c r="R34" i="2"/>
  <c r="S34" i="2" s="1"/>
  <c r="Q34" i="2"/>
  <c r="P34" i="2"/>
  <c r="O34" i="2"/>
  <c r="M34" i="2"/>
  <c r="N34" i="2" s="1"/>
  <c r="T33" i="2"/>
  <c r="U33" i="2" s="1"/>
  <c r="Q33" i="2"/>
  <c r="R33" i="2" s="1"/>
  <c r="S33" i="2" s="1"/>
  <c r="P33" i="2"/>
  <c r="O33" i="2"/>
  <c r="M33" i="2"/>
  <c r="N33" i="2" s="1"/>
  <c r="U32" i="2"/>
  <c r="T32" i="2"/>
  <c r="Q32" i="2"/>
  <c r="R32" i="2" s="1"/>
  <c r="S32" i="2" s="1"/>
  <c r="P32" i="2"/>
  <c r="O32" i="2"/>
  <c r="M32" i="2"/>
  <c r="N32" i="2" s="1"/>
  <c r="U31" i="2"/>
  <c r="T31" i="2"/>
  <c r="R31" i="2"/>
  <c r="S31" i="2" s="1"/>
  <c r="Q31" i="2"/>
  <c r="P31" i="2"/>
  <c r="O31" i="2"/>
  <c r="M31" i="2"/>
  <c r="N31" i="2" s="1"/>
  <c r="T30" i="2"/>
  <c r="U30" i="2" s="1"/>
  <c r="R30" i="2"/>
  <c r="S30" i="2" s="1"/>
  <c r="Q30" i="2"/>
  <c r="P30" i="2"/>
  <c r="O30" i="2"/>
  <c r="M30" i="2"/>
  <c r="N30" i="2" s="1"/>
  <c r="T29" i="2"/>
  <c r="U29" i="2" s="1"/>
  <c r="Q29" i="2"/>
  <c r="R29" i="2" s="1"/>
  <c r="S29" i="2" s="1"/>
  <c r="P29" i="2"/>
  <c r="O29" i="2"/>
  <c r="M29" i="2"/>
  <c r="N29" i="2" s="1"/>
  <c r="U28" i="2"/>
  <c r="T28" i="2"/>
  <c r="Q28" i="2"/>
  <c r="R28" i="2" s="1"/>
  <c r="S28" i="2" s="1"/>
  <c r="P28" i="2"/>
  <c r="O28" i="2"/>
  <c r="M28" i="2"/>
  <c r="N28" i="2" s="1"/>
  <c r="U27" i="2"/>
  <c r="T27" i="2"/>
  <c r="R27" i="2"/>
  <c r="S27" i="2" s="1"/>
  <c r="Q27" i="2"/>
  <c r="P27" i="2"/>
  <c r="O27" i="2"/>
  <c r="M27" i="2"/>
  <c r="N27" i="2" s="1"/>
  <c r="T26" i="2"/>
  <c r="U26" i="2" s="1"/>
  <c r="R26" i="2"/>
  <c r="S26" i="2" s="1"/>
  <c r="Q26" i="2"/>
  <c r="P26" i="2"/>
  <c r="O26" i="2"/>
  <c r="M26" i="2"/>
  <c r="N26" i="2" s="1"/>
  <c r="T25" i="2"/>
  <c r="U25" i="2" s="1"/>
  <c r="Q25" i="2"/>
  <c r="R25" i="2" s="1"/>
  <c r="S25" i="2" s="1"/>
  <c r="P25" i="2"/>
  <c r="O25" i="2"/>
  <c r="M25" i="2"/>
  <c r="N25" i="2" s="1"/>
  <c r="U24" i="2"/>
  <c r="T24" i="2"/>
  <c r="Q24" i="2"/>
  <c r="R24" i="2" s="1"/>
  <c r="S24" i="2" s="1"/>
  <c r="P24" i="2"/>
  <c r="O24" i="2"/>
  <c r="M24" i="2"/>
  <c r="N24" i="2" s="1"/>
  <c r="U23" i="2"/>
  <c r="T23" i="2"/>
  <c r="R23" i="2"/>
  <c r="S23" i="2" s="1"/>
  <c r="Q23" i="2"/>
  <c r="P23" i="2"/>
  <c r="O23" i="2"/>
  <c r="M23" i="2"/>
  <c r="N23" i="2" s="1"/>
  <c r="T22" i="2"/>
  <c r="U22" i="2" s="1"/>
  <c r="R22" i="2"/>
  <c r="S22" i="2" s="1"/>
  <c r="Q22" i="2"/>
  <c r="P22" i="2"/>
  <c r="O22" i="2"/>
  <c r="M22" i="2"/>
  <c r="N22" i="2" s="1"/>
  <c r="T21" i="2"/>
  <c r="U21" i="2" s="1"/>
  <c r="Q21" i="2"/>
  <c r="R21" i="2" s="1"/>
  <c r="S21" i="2" s="1"/>
  <c r="P21" i="2"/>
  <c r="O21" i="2"/>
  <c r="M21" i="2"/>
  <c r="N21" i="2" s="1"/>
  <c r="U20" i="2"/>
  <c r="T20" i="2"/>
  <c r="Q20" i="2"/>
  <c r="R20" i="2" s="1"/>
  <c r="S20" i="2" s="1"/>
  <c r="P20" i="2"/>
  <c r="O20" i="2"/>
  <c r="M20" i="2"/>
  <c r="N20" i="2" s="1"/>
  <c r="U19" i="2"/>
  <c r="T19" i="2"/>
  <c r="R19" i="2"/>
  <c r="S19" i="2" s="1"/>
  <c r="Q19" i="2"/>
  <c r="P19" i="2"/>
  <c r="O19" i="2"/>
  <c r="M19" i="2"/>
  <c r="N19" i="2" s="1"/>
  <c r="T18" i="2"/>
  <c r="U18" i="2" s="1"/>
  <c r="R18" i="2"/>
  <c r="S18" i="2" s="1"/>
  <c r="Q18" i="2"/>
  <c r="P18" i="2"/>
  <c r="O18" i="2"/>
  <c r="M18" i="2"/>
  <c r="N18" i="2" s="1"/>
  <c r="T17" i="2"/>
  <c r="U17" i="2" s="1"/>
  <c r="Q17" i="2"/>
  <c r="R17" i="2" s="1"/>
  <c r="S17" i="2" s="1"/>
  <c r="P17" i="2"/>
  <c r="O17" i="2"/>
  <c r="M17" i="2"/>
  <c r="N17" i="2" s="1"/>
  <c r="U16" i="2"/>
  <c r="T16" i="2"/>
  <c r="Q16" i="2"/>
  <c r="R16" i="2" s="1"/>
  <c r="S16" i="2" s="1"/>
  <c r="P16" i="2"/>
  <c r="O16" i="2"/>
  <c r="M16" i="2"/>
  <c r="N16" i="2" s="1"/>
  <c r="U15" i="2"/>
  <c r="T15" i="2"/>
  <c r="R15" i="2"/>
  <c r="S15" i="2" s="1"/>
  <c r="Q15" i="2"/>
  <c r="P15" i="2"/>
  <c r="O15" i="2"/>
  <c r="M15" i="2"/>
  <c r="N15" i="2" s="1"/>
  <c r="T14" i="2"/>
  <c r="U14" i="2" s="1"/>
  <c r="Q14" i="2"/>
  <c r="R14" i="2" s="1"/>
  <c r="S14" i="2" s="1"/>
  <c r="P14" i="2"/>
  <c r="O14" i="2"/>
  <c r="M14" i="2"/>
  <c r="N14" i="2" s="1"/>
  <c r="T13" i="2"/>
  <c r="U13" i="2" s="1"/>
  <c r="Q13" i="2"/>
  <c r="R13" i="2" s="1"/>
  <c r="S13" i="2" s="1"/>
  <c r="P13" i="2"/>
  <c r="O13" i="2"/>
  <c r="M13" i="2"/>
  <c r="N13" i="2" s="1"/>
  <c r="T12" i="2"/>
  <c r="U12" i="2" s="1"/>
  <c r="Q12" i="2"/>
  <c r="R12" i="2" s="1"/>
  <c r="S12" i="2" s="1"/>
  <c r="P12" i="2"/>
  <c r="O12" i="2"/>
  <c r="M12" i="2"/>
  <c r="N12" i="2" s="1"/>
  <c r="T11" i="2"/>
  <c r="U11" i="2" s="1"/>
  <c r="Q11" i="2"/>
  <c r="R11" i="2" s="1"/>
  <c r="S11" i="2" s="1"/>
  <c r="P11" i="2"/>
  <c r="O11" i="2"/>
  <c r="M11" i="2"/>
  <c r="N11" i="2" s="1"/>
  <c r="T10" i="2"/>
  <c r="U10" i="2" s="1"/>
  <c r="Q10" i="2"/>
  <c r="R10" i="2" s="1"/>
  <c r="S10" i="2" s="1"/>
  <c r="P10" i="2"/>
  <c r="O10" i="2"/>
  <c r="M10" i="2"/>
  <c r="N10" i="2" s="1"/>
  <c r="T9" i="2"/>
  <c r="U9" i="2" s="1"/>
  <c r="Q9" i="2"/>
  <c r="R9" i="2" s="1"/>
  <c r="S9" i="2" s="1"/>
  <c r="P9" i="2"/>
  <c r="O9" i="2"/>
  <c r="M9" i="2"/>
  <c r="N9" i="2" s="1"/>
  <c r="T8" i="2"/>
  <c r="U8" i="2" s="1"/>
  <c r="Q8" i="2"/>
  <c r="R8" i="2" s="1"/>
  <c r="S8" i="2" s="1"/>
  <c r="P8" i="2"/>
  <c r="O8" i="2"/>
  <c r="M8" i="2"/>
  <c r="N8" i="2" s="1"/>
  <c r="T7" i="2"/>
  <c r="U7" i="2" s="1"/>
  <c r="Q7" i="2"/>
  <c r="R7" i="2" s="1"/>
  <c r="S7" i="2" s="1"/>
  <c r="P7" i="2"/>
  <c r="O7" i="2"/>
  <c r="M7" i="2"/>
  <c r="N7" i="2" s="1"/>
  <c r="T6" i="2"/>
  <c r="U6" i="2" s="1"/>
  <c r="Q6" i="2"/>
  <c r="R6" i="2" s="1"/>
  <c r="S6" i="2" s="1"/>
  <c r="P6" i="2"/>
  <c r="O6" i="2"/>
  <c r="M6" i="2"/>
  <c r="N6" i="2" s="1"/>
</calcChain>
</file>

<file path=xl/sharedStrings.xml><?xml version="1.0" encoding="utf-8"?>
<sst xmlns="http://schemas.openxmlformats.org/spreadsheetml/2006/main" count="371" uniqueCount="245">
  <si>
    <t>MARCOM CONTRIBUTION — Data Collection Template</t>
  </si>
  <si>
    <t>For the Marketing Manager to complete monthly — this data feeds the 4-page MARCOM dashboard.</t>
  </si>
  <si>
    <t>How to use this workbook</t>
  </si>
  <si>
    <t>•</t>
  </si>
  <si>
    <t>This workbook has one tab per dashboard page, plus a 'Lists' tab (dropdown sources - do not edit).</t>
  </si>
  <si>
    <t>Fill in only the YELLOW cells. GREY cells contain formulas that calculate KPIs automatically - please do not overwrite them.</t>
  </si>
  <si>
    <t>Each table includes one GREEN example row showing the expected format and units. Delete or overwrite example rows before sending real data.</t>
  </si>
  <si>
    <t>Enter one row per Month / Brand / Campaign / Platform / Event as indicated in each table.</t>
  </si>
  <si>
    <t>Where a dropdown arrow appears, please select from the list rather than typing free text, so the dashboard can group data correctly.</t>
  </si>
  <si>
    <t>All monetary values should be entered in Libyan Dinar (LYD) unless a column states otherwise.</t>
  </si>
  <si>
    <t>Dates should be entered as DD/MM/YYYY.</t>
  </si>
  <si>
    <t>Please keep one row per record (do not merge cells or insert blank rows inside a table).</t>
  </si>
  <si>
    <t>Color legend</t>
  </si>
  <si>
    <t>Input cell — please fill in</t>
  </si>
  <si>
    <t>Auto-calculated cell — formula, do not edit</t>
  </si>
  <si>
    <t>Example row — for format reference only</t>
  </si>
  <si>
    <t>KPI is in the GREEN (on-target) zone</t>
  </si>
  <si>
    <t>KPI is in the YELLOW (watch) zone</t>
  </si>
  <si>
    <t>KPI is in the RED (off-target) zone</t>
  </si>
  <si>
    <t>KPI definitions &amp; RAG thresholds</t>
  </si>
  <si>
    <t>Metric</t>
  </si>
  <si>
    <t>Formula &amp; thresholds</t>
  </si>
  <si>
    <t>ROI Ratio (Spend : Revenue)</t>
  </si>
  <si>
    <t>Revenue Attributed to Marketing ÷ Total Spend, shown as "1 : X". Green if X &gt; 5 · Yellow if 3 ≤ X ≤ 5 · Red if X &lt; 3.</t>
  </si>
  <si>
    <t>Budget Utilization %</t>
  </si>
  <si>
    <t>Actual Spend ÷ Budget Allocated, by Brand.</t>
  </si>
  <si>
    <t>Brand Growth %</t>
  </si>
  <si>
    <t>(Current Period Revenue − Prior Year Revenue) ÷ Prior Year Revenue.</t>
  </si>
  <si>
    <t>CAC (Customer Acquisition Cost)</t>
  </si>
  <si>
    <t>Total Spend ÷ # of New Customers, then compared as a % of Average Sales per Invoice (LYD). Green if CAC ≤ 3% of Sales/Invoice · Yellow if 3%–5% · Red if &gt; 5%. (Note: your brief listed "Green &lt; 5%" and "Yellow 3–5%", which overlap — we've set Green at ≤3% so the three bands don't overlap. Adjust in the formulas if you intended differently.)</t>
  </si>
  <si>
    <t>CPC (Cost per Click)</t>
  </si>
  <si>
    <t>Total Cost of Posts ÷ Total Clicks. Green if &lt; 2.5 LYD · Yellow if 2.5–5 LYD · Red if &gt; 5 LYD.</t>
  </si>
  <si>
    <t>CTR (Click Through Rate)</t>
  </si>
  <si>
    <t># Clicks ÷ # Impressions × 100. Green if &gt; 5% · Yellow if 3%–5% · Red if &lt; 3%.</t>
  </si>
  <si>
    <t>Engagement Rate</t>
  </si>
  <si>
    <t>(Likes + Comments + Shares + Saves + Clicks) ÷ Impressions. Green if &gt; 5% · Yellow if 3%–5% · Red if &lt; 3%.</t>
  </si>
  <si>
    <t>Bounce Rate</t>
  </si>
  <si>
    <t># Single-page Visitors ÷ Total # Visitors × 100.</t>
  </si>
  <si>
    <t>Average Session Duration</t>
  </si>
  <si>
    <t>Total Minutes Spent by All Visitors ÷ Total # Visitors (Sessions). Green if &gt; 3 min · Yellow if 1–3 min · Red if &lt; 1 min.</t>
  </si>
  <si>
    <t>Compliance / Stock / Attendance Rate</t>
  </si>
  <si>
    <t>Green if &gt; 90% · Yellow if 80%–90% · Red if &lt; 80% (applies to Compliance Rate, Giveaways Stock, Printed Materials Stock, and Attendance Rate).</t>
  </si>
  <si>
    <t>Tabs in this workbook</t>
  </si>
  <si>
    <t>P1 - MARCOM Spending</t>
  </si>
  <si>
    <t>Monthly spend, revenue, budget and CAC/CPC data by Brand.</t>
  </si>
  <si>
    <t>P2 - Media Campaigns</t>
  </si>
  <si>
    <t>Campaign-level spend/revenue, timeline, and OOH (out-of-home) coverage &amp; cost by type.</t>
  </si>
  <si>
    <t>P3 - Digital Performance</t>
  </si>
  <si>
    <t>Monthly social media and website traffic data.</t>
  </si>
  <si>
    <t>P4 - Trade Marketing</t>
  </si>
  <si>
    <t>Monthly compliance/stock/attendance KPIs and the events log.</t>
  </si>
  <si>
    <t>Page 1 — MARCOM Spending</t>
  </si>
  <si>
    <t>Enter one row per Month per Brand. Columns N onward calculate automatically.</t>
  </si>
  <si>
    <t>Legend: Yellow = enter data | Grey = auto-calculated (do not edit) | Green row = example (delete before sending)</t>
  </si>
  <si>
    <t>Year</t>
  </si>
  <si>
    <t>Month</t>
  </si>
  <si>
    <t>Brand</t>
  </si>
  <si>
    <t>Total Marketing Spend (LYD)</t>
  </si>
  <si>
    <t>Revenue Attributed to Marketing (LYD)</t>
  </si>
  <si>
    <t>Total Company Revenue - Current (LYD)</t>
  </si>
  <si>
    <t>Total Company Revenue - Same Month Last Year (LYD)</t>
  </si>
  <si>
    <t>Budget Allocated (LYD)</t>
  </si>
  <si>
    <t># of New Customers</t>
  </si>
  <si>
    <t>Avg Sales per Invoice (LYD)</t>
  </si>
  <si>
    <t>Total Cost of Social Media Posts (LYD)</t>
  </si>
  <si>
    <t>Total Clicks (#)</t>
  </si>
  <si>
    <t>ROI Ratio (Revenue : Spend)</t>
  </si>
  <si>
    <t>ROI Status</t>
  </si>
  <si>
    <t>CAC (LYD)</t>
  </si>
  <si>
    <t>CAC % of Sales/Invoice</t>
  </si>
  <si>
    <t>CAC Status</t>
  </si>
  <si>
    <t>CPC (LYD)</t>
  </si>
  <si>
    <t>CPC Status</t>
  </si>
  <si>
    <t>August</t>
  </si>
  <si>
    <t>Page 2 — Media Campaign Performance</t>
  </si>
  <si>
    <t>Table A: one row per campaign. Table B (below): OOH/media coverage &amp; cost detail per campaign.</t>
  </si>
  <si>
    <t>Table A — Campaign Master</t>
  </si>
  <si>
    <t>Campaign Name</t>
  </si>
  <si>
    <t>Start Date</t>
  </si>
  <si>
    <t>End Date</t>
  </si>
  <si>
    <t>Status</t>
  </si>
  <si>
    <t>Total Spend (LYD)</t>
  </si>
  <si>
    <t>Revenue Attributed to Campaign (LYD)</t>
  </si>
  <si>
    <t>Duration (Days)</t>
  </si>
  <si>
    <t>Spend vs Revenue Rate %</t>
  </si>
  <si>
    <t>Completed</t>
  </si>
  <si>
    <t>Table B — OOH / Geographic Coverage &amp; Cost by Type</t>
  </si>
  <si>
    <t>Media Type</t>
  </si>
  <si>
    <t># of Locations / Units</t>
  </si>
  <si>
    <t>Cost (LYD)</t>
  </si>
  <si>
    <t>1-Street Lights</t>
  </si>
  <si>
    <t>Page 3 — Digital Performance</t>
  </si>
  <si>
    <t>Table A: one row per Month per Platform. Table B (below): monthly website traffic.</t>
  </si>
  <si>
    <t>Table A — Social Media Monthly</t>
  </si>
  <si>
    <t>Platform</t>
  </si>
  <si>
    <t>Followers / Likes (#)</t>
  </si>
  <si>
    <t>Impressions (#)</t>
  </si>
  <si>
    <t>Clicks (#)</t>
  </si>
  <si>
    <t>Paid Engagement - Likes+Comments+Shares+Saves+Clicks (#)</t>
  </si>
  <si>
    <t>Organic (Free) Engagement - same (#)</t>
  </si>
  <si>
    <t>Total Engagement (#)</t>
  </si>
  <si>
    <t>CTR %</t>
  </si>
  <si>
    <t>CTR Status</t>
  </si>
  <si>
    <t>Engagement Rate %</t>
  </si>
  <si>
    <t>Engagement Status</t>
  </si>
  <si>
    <t>Instagram</t>
  </si>
  <si>
    <t>Table B — Website Traffic Monthly</t>
  </si>
  <si>
    <t>Single-Page (Bounce) Visitors (#)</t>
  </si>
  <si>
    <t>Total Visitors (#)</t>
  </si>
  <si>
    <t>Total Sessions (#)</t>
  </si>
  <si>
    <t>Total Time Spent by All Visitors (Minutes)</t>
  </si>
  <si>
    <t>Bounce Rate %</t>
  </si>
  <si>
    <t>Avg Session Duration (min)</t>
  </si>
  <si>
    <t>Session Duration Status</t>
  </si>
  <si>
    <t>Page 4 — Trade Marketing &amp; Retail</t>
  </si>
  <si>
    <t>Table A: one row per Month. Table B (below): individual events log.</t>
  </si>
  <si>
    <t>Table A — Monthly Compliance, Stock &amp; Attendance KPIs</t>
  </si>
  <si>
    <t>Trade Marketing Report Score % (Compliance)</t>
  </si>
  <si>
    <t>Compliance Status</t>
  </si>
  <si>
    <t>Giveaways Stock Available %</t>
  </si>
  <si>
    <t>Giveaways Stock Status</t>
  </si>
  <si>
    <t>Printed Materials Stock Available %</t>
  </si>
  <si>
    <t>Printed Materials Status</t>
  </si>
  <si>
    <t># Attendees - Actual</t>
  </si>
  <si>
    <t># Attendees - Expected</t>
  </si>
  <si>
    <t>Attendance Rate %</t>
  </si>
  <si>
    <t>Attendance Status</t>
  </si>
  <si>
    <t>Table B — Events Log (feeds Events by Type and Events Timeline visuals)</t>
  </si>
  <si>
    <t>Event Name</t>
  </si>
  <si>
    <t>Event Type</t>
  </si>
  <si>
    <t>Planned Date</t>
  </si>
  <si>
    <t>Completion Date</t>
  </si>
  <si>
    <t>Month (auto)</t>
  </si>
  <si>
    <t>6-Launch &amp; Opening</t>
  </si>
  <si>
    <t>OOH_Type</t>
  </si>
  <si>
    <t>Campaign_Status</t>
  </si>
  <si>
    <t>Event_Type</t>
  </si>
  <si>
    <t>Event_Status</t>
  </si>
  <si>
    <t>January</t>
  </si>
  <si>
    <t>Facebook</t>
  </si>
  <si>
    <t>Planned</t>
  </si>
  <si>
    <t>1-Professionals</t>
  </si>
  <si>
    <t>February</t>
  </si>
  <si>
    <t>Google</t>
  </si>
  <si>
    <t>2-Mega Billboards</t>
  </si>
  <si>
    <t>Ongoing</t>
  </si>
  <si>
    <t>2-Architects/Designers</t>
  </si>
  <si>
    <t>March</t>
  </si>
  <si>
    <t>LinkedIn</t>
  </si>
  <si>
    <t>3-Billboards</t>
  </si>
  <si>
    <t>3-Corporate</t>
  </si>
  <si>
    <t>Postponed</t>
  </si>
  <si>
    <t>April</t>
  </si>
  <si>
    <t>4-Bridge Banners</t>
  </si>
  <si>
    <t>On Hold</t>
  </si>
  <si>
    <t>4-CSR</t>
  </si>
  <si>
    <t>Cancelled</t>
  </si>
  <si>
    <t>May</t>
  </si>
  <si>
    <t>TikTok</t>
  </si>
  <si>
    <t>5-Light Screen</t>
  </si>
  <si>
    <t>5-Entertainment</t>
  </si>
  <si>
    <t>June</t>
  </si>
  <si>
    <t>July</t>
  </si>
  <si>
    <t>7-Internal/Trainings</t>
  </si>
  <si>
    <t>8-Exhibitions</t>
  </si>
  <si>
    <t>September</t>
  </si>
  <si>
    <t>October</t>
  </si>
  <si>
    <t>November</t>
  </si>
  <si>
    <t>December</t>
  </si>
  <si>
    <t>Xtreme</t>
  </si>
  <si>
    <t>Majaal</t>
  </si>
  <si>
    <t>Germa</t>
  </si>
  <si>
    <t>BMH</t>
  </si>
  <si>
    <t>4500000</t>
  </si>
  <si>
    <t>3400000</t>
  </si>
  <si>
    <t>3800000</t>
  </si>
  <si>
    <t>5000000</t>
  </si>
  <si>
    <t>5700000</t>
  </si>
  <si>
    <t>6600000</t>
  </si>
  <si>
    <t>5800000</t>
  </si>
  <si>
    <t>6100000</t>
  </si>
  <si>
    <t>8000000</t>
  </si>
  <si>
    <t>9400000</t>
  </si>
  <si>
    <t>10100000</t>
  </si>
  <si>
    <t>7000000</t>
  </si>
  <si>
    <t>19400000</t>
  </si>
  <si>
    <t>15700000</t>
  </si>
  <si>
    <t>12100000</t>
  </si>
  <si>
    <t>11900000</t>
  </si>
  <si>
    <t>12700000</t>
  </si>
  <si>
    <t>16800000</t>
  </si>
  <si>
    <t>8700000</t>
  </si>
  <si>
    <t>7700000</t>
  </si>
  <si>
    <t>3100000</t>
  </si>
  <si>
    <t>2700000</t>
  </si>
  <si>
    <t>8600000</t>
  </si>
  <si>
    <t>8400000</t>
  </si>
  <si>
    <t>11700000</t>
  </si>
  <si>
    <t>10300000</t>
  </si>
  <si>
    <t>6170</t>
  </si>
  <si>
    <t>6830</t>
  </si>
  <si>
    <t>7000</t>
  </si>
  <si>
    <t>7100</t>
  </si>
  <si>
    <t>8330</t>
  </si>
  <si>
    <t>7790</t>
  </si>
  <si>
    <t>8760</t>
  </si>
  <si>
    <t>7530</t>
  </si>
  <si>
    <t>8220</t>
  </si>
  <si>
    <t>خليك حرش - Masonry Mortars</t>
  </si>
  <si>
    <t>Render &amp; Grouat</t>
  </si>
  <si>
    <t>خليك محمي.. خليك إكستريم</t>
  </si>
  <si>
    <t>205770</t>
  </si>
  <si>
    <t>465480</t>
  </si>
  <si>
    <t>6800000</t>
  </si>
  <si>
    <t xml:space="preserve">0
</t>
  </si>
  <si>
    <t xml:space="preserve">2100000
</t>
  </si>
  <si>
    <t>11500</t>
  </si>
  <si>
    <t xml:space="preserve">8240
</t>
  </si>
  <si>
    <t>3100</t>
  </si>
  <si>
    <t>4600</t>
  </si>
  <si>
    <t xml:space="preserve">19900
</t>
  </si>
  <si>
    <t xml:space="preserve">1500000
</t>
  </si>
  <si>
    <t>9900</t>
  </si>
  <si>
    <t xml:space="preserve">77500
</t>
  </si>
  <si>
    <t xml:space="preserve">904100
</t>
  </si>
  <si>
    <t>5000</t>
  </si>
  <si>
    <t xml:space="preserve">172700
</t>
  </si>
  <si>
    <t>2200</t>
  </si>
  <si>
    <t xml:space="preserve">1900000
</t>
  </si>
  <si>
    <t>5700</t>
  </si>
  <si>
    <t>36700</t>
  </si>
  <si>
    <t>1300000</t>
  </si>
  <si>
    <t>3700</t>
  </si>
  <si>
    <t xml:space="preserve">76400
</t>
  </si>
  <si>
    <t>7600</t>
  </si>
  <si>
    <t>17510</t>
  </si>
  <si>
    <t xml:space="preserve">2700000
</t>
  </si>
  <si>
    <t>5900</t>
  </si>
  <si>
    <t xml:space="preserve">137200
</t>
  </si>
  <si>
    <t>BMH RAMADAN</t>
  </si>
  <si>
    <t>Libya Build</t>
  </si>
  <si>
    <t>Benghazi BooK</t>
  </si>
  <si>
    <t>Almarij Product Launch</t>
  </si>
  <si>
    <t>Tripoli Product Launch</t>
  </si>
  <si>
    <t>Tripoli Product Launch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</si>
</sst>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x"/>
    <numFmt numFmtId="165" formatCode="0.0%"/>
    <numFmt numFmtId="166" formatCode="dd/mm/yyyy"/>
    <numFmt numFmtId="167" formatCode="0.0"/>
  </numFmts>
  <fonts count="10" x14ac:knownFonts="1">
    <font>
      <sz val="11"/>
      <color theme="1"/>
      <name val="Calibri"/>
      <family val="2"/>
      <charset val="1"/>
    </font>
    <font>
      <b/>
      <sz val="18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4"/>
      <color rgb="FF1F3864"/>
      <name val="Arial"/>
      <family val="2"/>
    </font>
    <font>
      <i/>
      <sz val="10"/>
      <color rgb="FF000000"/>
      <name val="Arial"/>
      <family val="2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vertical="top" wrapText="1"/>
    </xf>
    <xf numFmtId="0" fontId="0" fillId="2" borderId="1" xfId="0" applyFill="1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0" fontId="0" fillId="5" borderId="1" xfId="0" applyFill="1" applyBorder="1" applyAlignment="1"/>
    <xf numFmtId="0" fontId="0" fillId="6" borderId="1" xfId="0" applyFill="1" applyBorder="1" applyAlignment="1"/>
    <xf numFmtId="0" fontId="0" fillId="7" borderId="1" xfId="0" applyFill="1" applyBorder="1" applyAlignment="1"/>
    <xf numFmtId="0" fontId="5" fillId="8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/>
    <xf numFmtId="0" fontId="8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166" fontId="8" fillId="4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7" fontId="8" fillId="4" borderId="1" xfId="0" applyNumberFormat="1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5" fillId="8" borderId="0" xfId="0" applyFont="1" applyFill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7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3" fillId="9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0"/>
  <sheetViews>
    <sheetView showGridLines="0" zoomScaleNormal="100" workbookViewId="0"/>
  </sheetViews>
  <sheetFormatPr defaultColWidth="8.6640625" defaultRowHeight="14.4" x14ac:dyDescent="0.3"/>
  <cols>
    <col min="1" max="1" width="3" style="1" customWidth="1"/>
    <col min="2" max="2" width="34" style="1" customWidth="1"/>
    <col min="3" max="3" width="90" style="1" customWidth="1"/>
  </cols>
  <sheetData>
    <row r="2" spans="2:3" ht="21.75" customHeight="1" x14ac:dyDescent="0.4">
      <c r="B2" s="29" t="s">
        <v>0</v>
      </c>
      <c r="C2" s="29"/>
    </row>
    <row r="3" spans="2:3" ht="15" customHeight="1" x14ac:dyDescent="0.3">
      <c r="B3" s="30" t="s">
        <v>1</v>
      </c>
      <c r="C3" s="30"/>
    </row>
    <row r="5" spans="2:3" ht="15" customHeight="1" x14ac:dyDescent="0.3">
      <c r="B5" s="2" t="s">
        <v>2</v>
      </c>
    </row>
    <row r="6" spans="2:3" ht="15" customHeight="1" x14ac:dyDescent="0.3">
      <c r="B6" s="3" t="s">
        <v>3</v>
      </c>
      <c r="C6" s="4" t="s">
        <v>4</v>
      </c>
    </row>
    <row r="7" spans="2:3" ht="23.25" customHeight="1" x14ac:dyDescent="0.3">
      <c r="B7" s="3" t="s">
        <v>3</v>
      </c>
      <c r="C7" s="4" t="s">
        <v>5</v>
      </c>
    </row>
    <row r="8" spans="2:3" ht="23.25" customHeight="1" x14ac:dyDescent="0.3">
      <c r="B8" s="3" t="s">
        <v>3</v>
      </c>
      <c r="C8" s="4" t="s">
        <v>6</v>
      </c>
    </row>
    <row r="9" spans="2:3" ht="15" customHeight="1" x14ac:dyDescent="0.3">
      <c r="B9" s="3" t="s">
        <v>3</v>
      </c>
      <c r="C9" s="4" t="s">
        <v>7</v>
      </c>
    </row>
    <row r="10" spans="2:3" ht="23.25" customHeight="1" x14ac:dyDescent="0.3">
      <c r="B10" s="3" t="s">
        <v>3</v>
      </c>
      <c r="C10" s="4" t="s">
        <v>8</v>
      </c>
    </row>
    <row r="11" spans="2:3" ht="15" customHeight="1" x14ac:dyDescent="0.3">
      <c r="B11" s="3" t="s">
        <v>3</v>
      </c>
      <c r="C11" s="4" t="s">
        <v>9</v>
      </c>
    </row>
    <row r="12" spans="2:3" ht="15" customHeight="1" x14ac:dyDescent="0.3">
      <c r="B12" s="3" t="s">
        <v>3</v>
      </c>
      <c r="C12" s="4" t="s">
        <v>10</v>
      </c>
    </row>
    <row r="13" spans="2:3" ht="15" customHeight="1" x14ac:dyDescent="0.3">
      <c r="B13" s="3" t="s">
        <v>3</v>
      </c>
      <c r="C13" s="4" t="s">
        <v>11</v>
      </c>
    </row>
    <row r="15" spans="2:3" ht="15" customHeight="1" x14ac:dyDescent="0.3">
      <c r="B15" s="2" t="s">
        <v>12</v>
      </c>
    </row>
    <row r="16" spans="2:3" ht="15" customHeight="1" x14ac:dyDescent="0.3">
      <c r="B16" s="5"/>
      <c r="C16" s="3" t="s">
        <v>13</v>
      </c>
    </row>
    <row r="17" spans="2:3" ht="15" customHeight="1" x14ac:dyDescent="0.3">
      <c r="B17" s="6"/>
      <c r="C17" s="3" t="s">
        <v>14</v>
      </c>
    </row>
    <row r="18" spans="2:3" ht="15" customHeight="1" x14ac:dyDescent="0.3">
      <c r="B18" s="7"/>
      <c r="C18" s="3" t="s">
        <v>15</v>
      </c>
    </row>
    <row r="19" spans="2:3" ht="15" customHeight="1" x14ac:dyDescent="0.3">
      <c r="B19" s="8"/>
      <c r="C19" s="3" t="s">
        <v>16</v>
      </c>
    </row>
    <row r="20" spans="2:3" ht="15" customHeight="1" x14ac:dyDescent="0.3">
      <c r="B20" s="9"/>
      <c r="C20" s="3" t="s">
        <v>17</v>
      </c>
    </row>
    <row r="21" spans="2:3" ht="15" customHeight="1" x14ac:dyDescent="0.3">
      <c r="B21" s="10"/>
      <c r="C21" s="3" t="s">
        <v>18</v>
      </c>
    </row>
    <row r="23" spans="2:3" ht="15" customHeight="1" x14ac:dyDescent="0.3">
      <c r="B23" s="2" t="s">
        <v>19</v>
      </c>
    </row>
    <row r="24" spans="2:3" ht="30" customHeight="1" x14ac:dyDescent="0.3">
      <c r="B24" s="11" t="s">
        <v>20</v>
      </c>
      <c r="C24" s="11" t="s">
        <v>21</v>
      </c>
    </row>
    <row r="25" spans="2:3" ht="45" customHeight="1" x14ac:dyDescent="0.3">
      <c r="B25" s="12" t="s">
        <v>22</v>
      </c>
      <c r="C25" s="4" t="s">
        <v>23</v>
      </c>
    </row>
    <row r="26" spans="2:3" ht="45" customHeight="1" x14ac:dyDescent="0.3">
      <c r="B26" s="12" t="s">
        <v>24</v>
      </c>
      <c r="C26" s="4" t="s">
        <v>25</v>
      </c>
    </row>
    <row r="27" spans="2:3" ht="45" customHeight="1" x14ac:dyDescent="0.3">
      <c r="B27" s="12" t="s">
        <v>26</v>
      </c>
      <c r="C27" s="4" t="s">
        <v>27</v>
      </c>
    </row>
    <row r="28" spans="2:3" ht="45" customHeight="1" x14ac:dyDescent="0.3">
      <c r="B28" s="12" t="s">
        <v>28</v>
      </c>
      <c r="C28" s="4" t="s">
        <v>29</v>
      </c>
    </row>
    <row r="29" spans="2:3" ht="45" customHeight="1" x14ac:dyDescent="0.3">
      <c r="B29" s="12" t="s">
        <v>30</v>
      </c>
      <c r="C29" s="4" t="s">
        <v>31</v>
      </c>
    </row>
    <row r="30" spans="2:3" ht="45" customHeight="1" x14ac:dyDescent="0.3">
      <c r="B30" s="12" t="s">
        <v>32</v>
      </c>
      <c r="C30" s="4" t="s">
        <v>33</v>
      </c>
    </row>
    <row r="31" spans="2:3" ht="45" customHeight="1" x14ac:dyDescent="0.3">
      <c r="B31" s="12" t="s">
        <v>34</v>
      </c>
      <c r="C31" s="4" t="s">
        <v>35</v>
      </c>
    </row>
    <row r="32" spans="2:3" ht="45" customHeight="1" x14ac:dyDescent="0.3">
      <c r="B32" s="12" t="s">
        <v>36</v>
      </c>
      <c r="C32" s="4" t="s">
        <v>37</v>
      </c>
    </row>
    <row r="33" spans="2:3" ht="45" customHeight="1" x14ac:dyDescent="0.3">
      <c r="B33" s="12" t="s">
        <v>38</v>
      </c>
      <c r="C33" s="4" t="s">
        <v>39</v>
      </c>
    </row>
    <row r="34" spans="2:3" ht="45" customHeight="1" x14ac:dyDescent="0.3">
      <c r="B34" s="12" t="s">
        <v>40</v>
      </c>
      <c r="C34" s="4" t="s">
        <v>41</v>
      </c>
    </row>
    <row r="36" spans="2:3" ht="15" customHeight="1" x14ac:dyDescent="0.3">
      <c r="B36" s="2" t="s">
        <v>42</v>
      </c>
    </row>
    <row r="37" spans="2:3" ht="15" customHeight="1" x14ac:dyDescent="0.3">
      <c r="B37" s="13" t="s">
        <v>43</v>
      </c>
      <c r="C37" s="4" t="s">
        <v>44</v>
      </c>
    </row>
    <row r="38" spans="2:3" ht="15" customHeight="1" x14ac:dyDescent="0.3">
      <c r="B38" s="13" t="s">
        <v>45</v>
      </c>
      <c r="C38" s="4" t="s">
        <v>46</v>
      </c>
    </row>
    <row r="39" spans="2:3" ht="15" customHeight="1" x14ac:dyDescent="0.3">
      <c r="B39" s="13" t="s">
        <v>47</v>
      </c>
      <c r="C39" s="4" t="s">
        <v>48</v>
      </c>
    </row>
    <row r="40" spans="2:3" ht="15" customHeight="1" x14ac:dyDescent="0.3">
      <c r="B40" s="13" t="s">
        <v>49</v>
      </c>
      <c r="C40" s="4" t="s">
        <v>50</v>
      </c>
    </row>
  </sheetData>
  <mergeCells count="2"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5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J25" sqref="J25"/>
    </sheetView>
  </sheetViews>
  <sheetFormatPr defaultColWidth="8.6640625" defaultRowHeight="14.4" x14ac:dyDescent="0.3"/>
  <cols>
    <col min="1" max="1" width="8" style="1" customWidth="1"/>
    <col min="2" max="2" width="11" style="1" customWidth="1"/>
    <col min="3" max="3" width="12" style="1" customWidth="1"/>
    <col min="4" max="4" width="16" style="1" customWidth="1"/>
    <col min="5" max="6" width="18" style="1" customWidth="1"/>
    <col min="7" max="7" width="20" style="1" customWidth="1"/>
    <col min="8" max="8" width="15" style="1" customWidth="1"/>
    <col min="9" max="9" width="13" style="1" customWidth="1"/>
    <col min="10" max="10" width="16" style="1" customWidth="1"/>
    <col min="11" max="11" width="18" style="1" customWidth="1"/>
    <col min="12" max="12" width="12" style="1" customWidth="1"/>
    <col min="13" max="13" width="16" style="1" customWidth="1"/>
    <col min="14" max="14" width="11" style="1" customWidth="1"/>
    <col min="15" max="15" width="14" style="1" customWidth="1"/>
    <col min="16" max="17" width="12" style="1" customWidth="1"/>
    <col min="18" max="18" width="14" style="1" customWidth="1"/>
    <col min="19" max="21" width="11" style="1" customWidth="1"/>
  </cols>
  <sheetData>
    <row r="1" spans="1:21" ht="25.5" customHeight="1" x14ac:dyDescent="0.3">
      <c r="A1" s="31" t="s">
        <v>51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1" ht="15.75" customHeight="1" x14ac:dyDescent="0.3">
      <c r="A2" s="32" t="s">
        <v>52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spans="1:21" ht="15" customHeight="1" x14ac:dyDescent="0.3">
      <c r="A3" s="32" t="s">
        <v>53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</row>
    <row r="5" spans="1:21" ht="31.5" customHeight="1" x14ac:dyDescent="0.3">
      <c r="A5" s="11" t="s">
        <v>54</v>
      </c>
      <c r="B5" s="11" t="s">
        <v>55</v>
      </c>
      <c r="C5" s="11" t="s">
        <v>56</v>
      </c>
      <c r="D5" s="11" t="s">
        <v>57</v>
      </c>
      <c r="E5" s="11" t="s">
        <v>58</v>
      </c>
      <c r="F5" s="11" t="s">
        <v>59</v>
      </c>
      <c r="G5" s="11" t="s">
        <v>60</v>
      </c>
      <c r="H5" s="11" t="s">
        <v>61</v>
      </c>
      <c r="I5" s="11" t="s">
        <v>62</v>
      </c>
      <c r="J5" s="11" t="s">
        <v>63</v>
      </c>
      <c r="K5" s="11" t="s">
        <v>64</v>
      </c>
      <c r="L5" s="11" t="s">
        <v>65</v>
      </c>
      <c r="M5" s="11" t="s">
        <v>66</v>
      </c>
      <c r="N5" s="11" t="s">
        <v>67</v>
      </c>
      <c r="O5" s="11" t="s">
        <v>24</v>
      </c>
      <c r="P5" s="11" t="s">
        <v>26</v>
      </c>
      <c r="Q5" s="11" t="s">
        <v>68</v>
      </c>
      <c r="R5" s="11" t="s">
        <v>69</v>
      </c>
      <c r="S5" s="11" t="s">
        <v>70</v>
      </c>
      <c r="T5" s="11" t="s">
        <v>71</v>
      </c>
      <c r="U5" s="11" t="s">
        <v>72</v>
      </c>
    </row>
    <row r="6" spans="1:21" ht="15" customHeight="1" x14ac:dyDescent="0.3">
      <c r="A6" s="14">
        <v>2026</v>
      </c>
      <c r="B6" s="14" t="s">
        <v>138</v>
      </c>
      <c r="C6" s="14" t="s">
        <v>169</v>
      </c>
      <c r="D6" s="14">
        <v>0</v>
      </c>
      <c r="E6" s="14" t="s">
        <v>173</v>
      </c>
      <c r="F6" s="14" t="s">
        <v>182</v>
      </c>
      <c r="G6" s="14" t="s">
        <v>191</v>
      </c>
      <c r="H6" s="14">
        <v>162.25</v>
      </c>
      <c r="I6" s="14">
        <v>26</v>
      </c>
      <c r="J6" s="14" t="s">
        <v>199</v>
      </c>
      <c r="K6" s="14">
        <v>594.20000000000005</v>
      </c>
      <c r="L6" s="14">
        <v>1212</v>
      </c>
      <c r="M6" s="15" t="str">
        <f t="shared" ref="M6:M35" si="0">IFERROR(E6/D6,"")</f>
        <v/>
      </c>
      <c r="N6" s="14" t="str">
        <f t="shared" ref="N6:N35" si="1">IFERROR(IF(ISNUMBER(M6),IF(M6&gt;5,"Green",IF(M6&gt;=3,"Yellow","Red")),""),"")</f>
        <v/>
      </c>
      <c r="O6" s="16">
        <f t="shared" ref="O6:O35" si="2">IFERROR(D6/H6,"")</f>
        <v>0</v>
      </c>
      <c r="P6" s="16">
        <f t="shared" ref="P6:P35" si="3">IFERROR((F6-G6)/G6,"")</f>
        <v>8.0459770114942528E-2</v>
      </c>
      <c r="Q6" s="17">
        <f t="shared" ref="Q6:Q35" si="4">IFERROR(D6/I6,"")</f>
        <v>0</v>
      </c>
      <c r="R6" s="16">
        <f t="shared" ref="R6:R35" si="5">IFERROR(Q6/J6,"")</f>
        <v>0</v>
      </c>
      <c r="S6" s="14" t="str">
        <f t="shared" ref="S6:S35" si="6">IFERROR(IF(ISNUMBER(R6),IF(R6&lt;=0.03,"Green",IF(R6&lt;=0.05,"Yellow","Red")),""),"")</f>
        <v>Green</v>
      </c>
      <c r="T6" s="17">
        <f t="shared" ref="T6:T35" si="7">IFERROR(K6/L6,"")</f>
        <v>0.49026402640264027</v>
      </c>
      <c r="U6" s="14" t="str">
        <f t="shared" ref="U6:U35" si="8">IFERROR(IF(ISNUMBER(T6),IF(T6&lt;2.5,"Green",IF(T6&lt;=5,"Yellow","Red")),""),"")</f>
        <v>Green</v>
      </c>
    </row>
    <row r="7" spans="1:21" ht="15" customHeight="1" x14ac:dyDescent="0.3">
      <c r="A7" s="14">
        <v>2026</v>
      </c>
      <c r="B7" s="18" t="s">
        <v>142</v>
      </c>
      <c r="C7" s="14" t="s">
        <v>169</v>
      </c>
      <c r="D7" s="18">
        <v>0</v>
      </c>
      <c r="E7" s="18" t="s">
        <v>174</v>
      </c>
      <c r="F7" s="18" t="s">
        <v>183</v>
      </c>
      <c r="G7" s="18" t="s">
        <v>192</v>
      </c>
      <c r="H7" s="18">
        <v>162.25</v>
      </c>
      <c r="I7" s="18">
        <v>34</v>
      </c>
      <c r="J7" s="18" t="s">
        <v>200</v>
      </c>
      <c r="K7" s="18">
        <v>497</v>
      </c>
      <c r="L7" s="18">
        <v>146000</v>
      </c>
      <c r="M7" s="19" t="str">
        <f t="shared" si="0"/>
        <v/>
      </c>
      <c r="N7" s="20" t="str">
        <f t="shared" si="1"/>
        <v/>
      </c>
      <c r="O7" s="21">
        <f t="shared" si="2"/>
        <v>0</v>
      </c>
      <c r="P7" s="21">
        <f t="shared" si="3"/>
        <v>0.31168831168831168</v>
      </c>
      <c r="Q7" s="22">
        <f t="shared" si="4"/>
        <v>0</v>
      </c>
      <c r="R7" s="21">
        <f t="shared" si="5"/>
        <v>0</v>
      </c>
      <c r="S7" s="20" t="str">
        <f t="shared" si="6"/>
        <v>Green</v>
      </c>
      <c r="T7" s="22">
        <f t="shared" si="7"/>
        <v>3.4041095890410961E-3</v>
      </c>
      <c r="U7" s="20" t="str">
        <f t="shared" si="8"/>
        <v>Green</v>
      </c>
    </row>
    <row r="8" spans="1:21" ht="15" customHeight="1" x14ac:dyDescent="0.3">
      <c r="A8" s="14">
        <v>2026</v>
      </c>
      <c r="B8" s="18" t="s">
        <v>147</v>
      </c>
      <c r="C8" s="14" t="s">
        <v>169</v>
      </c>
      <c r="D8" s="18">
        <v>0</v>
      </c>
      <c r="E8" s="18" t="s">
        <v>175</v>
      </c>
      <c r="F8" s="18" t="s">
        <v>184</v>
      </c>
      <c r="G8" s="18" t="s">
        <v>193</v>
      </c>
      <c r="H8" s="18">
        <v>162.25</v>
      </c>
      <c r="I8" s="18">
        <v>19</v>
      </c>
      <c r="J8" s="18" t="s">
        <v>201</v>
      </c>
      <c r="K8" s="18">
        <v>263</v>
      </c>
      <c r="L8" s="18">
        <v>4600</v>
      </c>
      <c r="M8" s="19" t="str">
        <f t="shared" si="0"/>
        <v/>
      </c>
      <c r="N8" s="20" t="str">
        <f t="shared" si="1"/>
        <v/>
      </c>
      <c r="O8" s="21">
        <f t="shared" si="2"/>
        <v>0</v>
      </c>
      <c r="P8" s="21">
        <f t="shared" si="3"/>
        <v>1.2580645161290323</v>
      </c>
      <c r="Q8" s="22">
        <f t="shared" si="4"/>
        <v>0</v>
      </c>
      <c r="R8" s="21">
        <f t="shared" si="5"/>
        <v>0</v>
      </c>
      <c r="S8" s="20" t="str">
        <f t="shared" si="6"/>
        <v>Green</v>
      </c>
      <c r="T8" s="22">
        <f t="shared" si="7"/>
        <v>5.7173913043478262E-2</v>
      </c>
      <c r="U8" s="20" t="str">
        <f t="shared" si="8"/>
        <v>Green</v>
      </c>
    </row>
    <row r="9" spans="1:21" ht="15" customHeight="1" x14ac:dyDescent="0.3">
      <c r="A9" s="14">
        <v>2026</v>
      </c>
      <c r="B9" s="18" t="s">
        <v>152</v>
      </c>
      <c r="C9" s="14" t="s">
        <v>169</v>
      </c>
      <c r="D9" s="18">
        <v>0</v>
      </c>
      <c r="E9" s="18" t="s">
        <v>176</v>
      </c>
      <c r="F9" s="18" t="s">
        <v>185</v>
      </c>
      <c r="G9" s="18" t="s">
        <v>194</v>
      </c>
      <c r="H9" s="18">
        <v>162.25</v>
      </c>
      <c r="I9" s="18">
        <v>32</v>
      </c>
      <c r="J9" s="18" t="s">
        <v>202</v>
      </c>
      <c r="K9" s="18">
        <v>215</v>
      </c>
      <c r="L9" s="18">
        <v>10404</v>
      </c>
      <c r="M9" s="19" t="str">
        <f t="shared" si="0"/>
        <v/>
      </c>
      <c r="N9" s="20" t="str">
        <f t="shared" si="1"/>
        <v/>
      </c>
      <c r="O9" s="21">
        <f t="shared" si="2"/>
        <v>0</v>
      </c>
      <c r="P9" s="21">
        <f t="shared" si="3"/>
        <v>6.1851851851851851</v>
      </c>
      <c r="Q9" s="22">
        <f t="shared" si="4"/>
        <v>0</v>
      </c>
      <c r="R9" s="21">
        <f t="shared" si="5"/>
        <v>0</v>
      </c>
      <c r="S9" s="20" t="str">
        <f t="shared" si="6"/>
        <v>Green</v>
      </c>
      <c r="T9" s="22">
        <f t="shared" si="7"/>
        <v>2.0665128796616687E-2</v>
      </c>
      <c r="U9" s="20" t="str">
        <f t="shared" si="8"/>
        <v>Green</v>
      </c>
    </row>
    <row r="10" spans="1:21" ht="15" customHeight="1" x14ac:dyDescent="0.3">
      <c r="A10" s="14">
        <v>2026</v>
      </c>
      <c r="B10" s="18" t="s">
        <v>157</v>
      </c>
      <c r="C10" s="14" t="s">
        <v>169</v>
      </c>
      <c r="D10" s="18">
        <v>111810</v>
      </c>
      <c r="E10" s="18" t="s">
        <v>177</v>
      </c>
      <c r="F10" s="18" t="s">
        <v>186</v>
      </c>
      <c r="G10" s="18" t="s">
        <v>195</v>
      </c>
      <c r="H10" s="18">
        <v>162.25</v>
      </c>
      <c r="I10" s="18">
        <v>167</v>
      </c>
      <c r="J10" s="18" t="s">
        <v>203</v>
      </c>
      <c r="K10" s="18">
        <v>310</v>
      </c>
      <c r="L10" s="18">
        <v>73000</v>
      </c>
      <c r="M10" s="19">
        <f t="shared" si="0"/>
        <v>50.979339951703786</v>
      </c>
      <c r="N10" s="20" t="str">
        <f t="shared" si="1"/>
        <v>Green</v>
      </c>
      <c r="O10" s="21">
        <f t="shared" si="2"/>
        <v>689.12172573189525</v>
      </c>
      <c r="P10" s="21">
        <f t="shared" si="3"/>
        <v>0.82558139534883723</v>
      </c>
      <c r="Q10" s="22">
        <f t="shared" si="4"/>
        <v>669.52095808383228</v>
      </c>
      <c r="R10" s="21">
        <f t="shared" si="5"/>
        <v>8.0374664835994272E-2</v>
      </c>
      <c r="S10" s="20" t="str">
        <f t="shared" si="6"/>
        <v>Red</v>
      </c>
      <c r="T10" s="22">
        <f t="shared" si="7"/>
        <v>4.2465753424657535E-3</v>
      </c>
      <c r="U10" s="20" t="str">
        <f t="shared" si="8"/>
        <v>Green</v>
      </c>
    </row>
    <row r="11" spans="1:21" ht="15" customHeight="1" x14ac:dyDescent="0.3">
      <c r="A11" s="14">
        <v>2026</v>
      </c>
      <c r="B11" s="18" t="s">
        <v>161</v>
      </c>
      <c r="C11" s="14" t="s">
        <v>169</v>
      </c>
      <c r="D11" s="18">
        <v>614500</v>
      </c>
      <c r="E11" s="18" t="s">
        <v>178</v>
      </c>
      <c r="F11" s="18" t="s">
        <v>187</v>
      </c>
      <c r="G11" s="18" t="s">
        <v>196</v>
      </c>
      <c r="H11" s="18">
        <v>162.25</v>
      </c>
      <c r="I11" s="18">
        <v>162</v>
      </c>
      <c r="J11" s="18" t="s">
        <v>204</v>
      </c>
      <c r="K11" s="18">
        <v>302</v>
      </c>
      <c r="L11" s="18">
        <v>5724</v>
      </c>
      <c r="M11" s="19">
        <f t="shared" si="0"/>
        <v>10.740439381611067</v>
      </c>
      <c r="N11" s="20" t="str">
        <f t="shared" si="1"/>
        <v>Green</v>
      </c>
      <c r="O11" s="21">
        <f t="shared" si="2"/>
        <v>3787.3651771956856</v>
      </c>
      <c r="P11" s="21">
        <f t="shared" si="3"/>
        <v>0.44047619047619047</v>
      </c>
      <c r="Q11" s="22">
        <f t="shared" si="4"/>
        <v>3793.2098765432097</v>
      </c>
      <c r="R11" s="21">
        <f t="shared" si="5"/>
        <v>0.48693323190541843</v>
      </c>
      <c r="S11" s="20" t="str">
        <f t="shared" si="6"/>
        <v>Red</v>
      </c>
      <c r="T11" s="22">
        <f t="shared" si="7"/>
        <v>5.2760307477288611E-2</v>
      </c>
      <c r="U11" s="20" t="str">
        <f t="shared" si="8"/>
        <v>Green</v>
      </c>
    </row>
    <row r="12" spans="1:21" ht="15" customHeight="1" x14ac:dyDescent="0.3">
      <c r="A12" s="14">
        <v>2026</v>
      </c>
      <c r="B12" s="18" t="s">
        <v>162</v>
      </c>
      <c r="C12" s="14" t="s">
        <v>169</v>
      </c>
      <c r="D12" s="18">
        <v>96620</v>
      </c>
      <c r="E12" s="18" t="s">
        <v>179</v>
      </c>
      <c r="F12" s="18" t="s">
        <v>188</v>
      </c>
      <c r="G12" s="18" t="s">
        <v>197</v>
      </c>
      <c r="H12" s="18">
        <v>162.25</v>
      </c>
      <c r="I12" s="18">
        <v>111</v>
      </c>
      <c r="J12" s="18" t="s">
        <v>205</v>
      </c>
      <c r="K12" s="18">
        <v>430</v>
      </c>
      <c r="L12" s="18">
        <v>401400</v>
      </c>
      <c r="M12" s="19">
        <f t="shared" si="0"/>
        <v>60.028979507348375</v>
      </c>
      <c r="N12" s="20" t="str">
        <f t="shared" si="1"/>
        <v>Green</v>
      </c>
      <c r="O12" s="21">
        <f t="shared" si="2"/>
        <v>595.50077041602469</v>
      </c>
      <c r="P12" s="21">
        <f t="shared" si="3"/>
        <v>1.7094017094017096E-2</v>
      </c>
      <c r="Q12" s="22">
        <f t="shared" si="4"/>
        <v>870.45045045045049</v>
      </c>
      <c r="R12" s="21">
        <f t="shared" si="5"/>
        <v>9.9366489777448691E-2</v>
      </c>
      <c r="S12" s="20" t="str">
        <f t="shared" si="6"/>
        <v>Red</v>
      </c>
      <c r="T12" s="22">
        <f t="shared" si="7"/>
        <v>1.0712506228201296E-3</v>
      </c>
      <c r="U12" s="20" t="str">
        <f t="shared" si="8"/>
        <v>Green</v>
      </c>
    </row>
    <row r="13" spans="1:21" ht="15" customHeight="1" x14ac:dyDescent="0.3">
      <c r="A13" s="14">
        <v>2026</v>
      </c>
      <c r="B13" s="18" t="s">
        <v>73</v>
      </c>
      <c r="C13" s="14" t="s">
        <v>169</v>
      </c>
      <c r="D13" s="18">
        <v>165445</v>
      </c>
      <c r="E13" s="18" t="s">
        <v>180</v>
      </c>
      <c r="F13" s="18" t="s">
        <v>189</v>
      </c>
      <c r="G13" s="18" t="s">
        <v>198</v>
      </c>
      <c r="H13" s="18">
        <v>162.25</v>
      </c>
      <c r="I13" s="18">
        <v>179</v>
      </c>
      <c r="J13" s="18" t="s">
        <v>206</v>
      </c>
      <c r="K13" s="18">
        <v>320</v>
      </c>
      <c r="L13" s="18">
        <v>791400</v>
      </c>
      <c r="M13" s="19">
        <f t="shared" si="0"/>
        <v>36.870258998458702</v>
      </c>
      <c r="N13" s="20" t="str">
        <f t="shared" si="1"/>
        <v>Green</v>
      </c>
      <c r="O13" s="21">
        <f t="shared" si="2"/>
        <v>1019.6918335901387</v>
      </c>
      <c r="P13" s="21">
        <f t="shared" si="3"/>
        <v>0.23300970873786409</v>
      </c>
      <c r="Q13" s="22">
        <f t="shared" si="4"/>
        <v>924.27374301675979</v>
      </c>
      <c r="R13" s="21">
        <f t="shared" si="5"/>
        <v>0.12274551700089771</v>
      </c>
      <c r="S13" s="20" t="str">
        <f t="shared" si="6"/>
        <v>Red</v>
      </c>
      <c r="T13" s="22">
        <f t="shared" si="7"/>
        <v>4.0434672731867575E-4</v>
      </c>
      <c r="U13" s="20" t="str">
        <f t="shared" si="8"/>
        <v>Green</v>
      </c>
    </row>
    <row r="14" spans="1:21" ht="15" customHeight="1" x14ac:dyDescent="0.3">
      <c r="A14" s="14">
        <v>2026</v>
      </c>
      <c r="B14" s="18" t="s">
        <v>165</v>
      </c>
      <c r="C14" s="14" t="s">
        <v>169</v>
      </c>
      <c r="D14" s="18">
        <v>75915</v>
      </c>
      <c r="E14" s="18" t="s">
        <v>181</v>
      </c>
      <c r="F14" s="18" t="s">
        <v>190</v>
      </c>
      <c r="G14" s="18" t="s">
        <v>197</v>
      </c>
      <c r="H14" s="18">
        <v>162.25</v>
      </c>
      <c r="I14" s="18">
        <v>201</v>
      </c>
      <c r="J14" s="18" t="s">
        <v>207</v>
      </c>
      <c r="K14" s="18">
        <v>565</v>
      </c>
      <c r="L14" s="18">
        <v>594800</v>
      </c>
      <c r="M14" s="19">
        <f t="shared" si="0"/>
        <v>105.38101824408878</v>
      </c>
      <c r="N14" s="20" t="str">
        <f t="shared" si="1"/>
        <v>Green</v>
      </c>
      <c r="O14" s="21">
        <f t="shared" si="2"/>
        <v>467.88906009244994</v>
      </c>
      <c r="P14" s="21">
        <f t="shared" si="3"/>
        <v>0.4358974358974359</v>
      </c>
      <c r="Q14" s="22">
        <f t="shared" si="4"/>
        <v>377.68656716417911</v>
      </c>
      <c r="R14" s="21">
        <f t="shared" si="5"/>
        <v>4.5947270944547335E-2</v>
      </c>
      <c r="S14" s="20" t="str">
        <f t="shared" si="6"/>
        <v>Yellow</v>
      </c>
      <c r="T14" s="22">
        <f t="shared" si="7"/>
        <v>9.4989912575655679E-4</v>
      </c>
      <c r="U14" s="20" t="str">
        <f t="shared" si="8"/>
        <v>Green</v>
      </c>
    </row>
    <row r="15" spans="1:21" ht="1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9" t="str">
        <f t="shared" si="0"/>
        <v/>
      </c>
      <c r="N15" s="20" t="str">
        <f t="shared" si="1"/>
        <v/>
      </c>
      <c r="O15" s="21" t="str">
        <f t="shared" si="2"/>
        <v/>
      </c>
      <c r="P15" s="21" t="str">
        <f t="shared" si="3"/>
        <v/>
      </c>
      <c r="Q15" s="22" t="str">
        <f t="shared" si="4"/>
        <v/>
      </c>
      <c r="R15" s="21" t="str">
        <f t="shared" si="5"/>
        <v/>
      </c>
      <c r="S15" s="20" t="str">
        <f t="shared" si="6"/>
        <v/>
      </c>
      <c r="T15" s="22" t="str">
        <f t="shared" si="7"/>
        <v/>
      </c>
      <c r="U15" s="20" t="str">
        <f t="shared" si="8"/>
        <v/>
      </c>
    </row>
    <row r="16" spans="1:21" ht="15" customHeight="1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 t="str">
        <f t="shared" si="0"/>
        <v/>
      </c>
      <c r="N16" s="20" t="str">
        <f t="shared" si="1"/>
        <v/>
      </c>
      <c r="O16" s="21" t="str">
        <f t="shared" si="2"/>
        <v/>
      </c>
      <c r="P16" s="21" t="str">
        <f t="shared" si="3"/>
        <v/>
      </c>
      <c r="Q16" s="22" t="str">
        <f t="shared" si="4"/>
        <v/>
      </c>
      <c r="R16" s="21" t="str">
        <f t="shared" si="5"/>
        <v/>
      </c>
      <c r="S16" s="20" t="str">
        <f t="shared" si="6"/>
        <v/>
      </c>
      <c r="T16" s="22" t="str">
        <f t="shared" si="7"/>
        <v/>
      </c>
      <c r="U16" s="20" t="str">
        <f t="shared" si="8"/>
        <v/>
      </c>
    </row>
    <row r="17" spans="1:21" ht="1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 t="str">
        <f t="shared" si="0"/>
        <v/>
      </c>
      <c r="N17" s="20" t="str">
        <f t="shared" si="1"/>
        <v/>
      </c>
      <c r="O17" s="21" t="str">
        <f t="shared" si="2"/>
        <v/>
      </c>
      <c r="P17" s="21" t="str">
        <f t="shared" si="3"/>
        <v/>
      </c>
      <c r="Q17" s="22" t="str">
        <f t="shared" si="4"/>
        <v/>
      </c>
      <c r="R17" s="21" t="str">
        <f t="shared" si="5"/>
        <v/>
      </c>
      <c r="S17" s="20" t="str">
        <f t="shared" si="6"/>
        <v/>
      </c>
      <c r="T17" s="22" t="str">
        <f t="shared" si="7"/>
        <v/>
      </c>
      <c r="U17" s="20" t="str">
        <f t="shared" si="8"/>
        <v/>
      </c>
    </row>
    <row r="18" spans="1:21" ht="15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 t="str">
        <f t="shared" si="0"/>
        <v/>
      </c>
      <c r="N18" s="20" t="str">
        <f t="shared" si="1"/>
        <v/>
      </c>
      <c r="O18" s="21" t="str">
        <f t="shared" si="2"/>
        <v/>
      </c>
      <c r="P18" s="21" t="str">
        <f t="shared" si="3"/>
        <v/>
      </c>
      <c r="Q18" s="22" t="str">
        <f t="shared" si="4"/>
        <v/>
      </c>
      <c r="R18" s="21" t="str">
        <f t="shared" si="5"/>
        <v/>
      </c>
      <c r="S18" s="20" t="str">
        <f t="shared" si="6"/>
        <v/>
      </c>
      <c r="T18" s="22" t="str">
        <f t="shared" si="7"/>
        <v/>
      </c>
      <c r="U18" s="20" t="str">
        <f t="shared" si="8"/>
        <v/>
      </c>
    </row>
    <row r="19" spans="1:21" ht="15" customHeight="1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9" t="str">
        <f t="shared" si="0"/>
        <v/>
      </c>
      <c r="N19" s="20" t="str">
        <f t="shared" si="1"/>
        <v/>
      </c>
      <c r="O19" s="21" t="str">
        <f t="shared" si="2"/>
        <v/>
      </c>
      <c r="P19" s="21" t="str">
        <f t="shared" si="3"/>
        <v/>
      </c>
      <c r="Q19" s="22" t="str">
        <f t="shared" si="4"/>
        <v/>
      </c>
      <c r="R19" s="21" t="str">
        <f t="shared" si="5"/>
        <v/>
      </c>
      <c r="S19" s="20" t="str">
        <f t="shared" si="6"/>
        <v/>
      </c>
      <c r="T19" s="22" t="str">
        <f t="shared" si="7"/>
        <v/>
      </c>
      <c r="U19" s="20" t="str">
        <f t="shared" si="8"/>
        <v/>
      </c>
    </row>
    <row r="20" spans="1:21" ht="15" customHeight="1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" t="str">
        <f t="shared" si="0"/>
        <v/>
      </c>
      <c r="N20" s="20" t="str">
        <f t="shared" si="1"/>
        <v/>
      </c>
      <c r="O20" s="21" t="str">
        <f t="shared" si="2"/>
        <v/>
      </c>
      <c r="P20" s="21" t="str">
        <f t="shared" si="3"/>
        <v/>
      </c>
      <c r="Q20" s="22" t="str">
        <f t="shared" si="4"/>
        <v/>
      </c>
      <c r="R20" s="21" t="str">
        <f t="shared" si="5"/>
        <v/>
      </c>
      <c r="S20" s="20" t="str">
        <f t="shared" si="6"/>
        <v/>
      </c>
      <c r="T20" s="22" t="str">
        <f t="shared" si="7"/>
        <v/>
      </c>
      <c r="U20" s="20" t="str">
        <f t="shared" si="8"/>
        <v/>
      </c>
    </row>
    <row r="21" spans="1:21" ht="15" customHeight="1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9" t="str">
        <f t="shared" si="0"/>
        <v/>
      </c>
      <c r="N21" s="20" t="str">
        <f t="shared" si="1"/>
        <v/>
      </c>
      <c r="O21" s="21" t="str">
        <f t="shared" si="2"/>
        <v/>
      </c>
      <c r="P21" s="21" t="str">
        <f t="shared" si="3"/>
        <v/>
      </c>
      <c r="Q21" s="22" t="str">
        <f t="shared" si="4"/>
        <v/>
      </c>
      <c r="R21" s="21" t="str">
        <f t="shared" si="5"/>
        <v/>
      </c>
      <c r="S21" s="20" t="str">
        <f t="shared" si="6"/>
        <v/>
      </c>
      <c r="T21" s="22" t="str">
        <f t="shared" si="7"/>
        <v/>
      </c>
      <c r="U21" s="20" t="str">
        <f t="shared" si="8"/>
        <v/>
      </c>
    </row>
    <row r="22" spans="1:21" ht="15" customHeight="1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 t="str">
        <f t="shared" si="0"/>
        <v/>
      </c>
      <c r="N22" s="20" t="str">
        <f t="shared" si="1"/>
        <v/>
      </c>
      <c r="O22" s="21" t="str">
        <f t="shared" si="2"/>
        <v/>
      </c>
      <c r="P22" s="21" t="str">
        <f t="shared" si="3"/>
        <v/>
      </c>
      <c r="Q22" s="22" t="str">
        <f t="shared" si="4"/>
        <v/>
      </c>
      <c r="R22" s="21" t="str">
        <f t="shared" si="5"/>
        <v/>
      </c>
      <c r="S22" s="20" t="str">
        <f t="shared" si="6"/>
        <v/>
      </c>
      <c r="T22" s="22" t="str">
        <f t="shared" si="7"/>
        <v/>
      </c>
      <c r="U22" s="20" t="str">
        <f t="shared" si="8"/>
        <v/>
      </c>
    </row>
    <row r="23" spans="1:21" ht="15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 t="str">
        <f t="shared" si="0"/>
        <v/>
      </c>
      <c r="N23" s="20" t="str">
        <f t="shared" si="1"/>
        <v/>
      </c>
      <c r="O23" s="21" t="str">
        <f t="shared" si="2"/>
        <v/>
      </c>
      <c r="P23" s="21" t="str">
        <f t="shared" si="3"/>
        <v/>
      </c>
      <c r="Q23" s="22" t="str">
        <f t="shared" si="4"/>
        <v/>
      </c>
      <c r="R23" s="21" t="str">
        <f t="shared" si="5"/>
        <v/>
      </c>
      <c r="S23" s="20" t="str">
        <f t="shared" si="6"/>
        <v/>
      </c>
      <c r="T23" s="22" t="str">
        <f t="shared" si="7"/>
        <v/>
      </c>
      <c r="U23" s="20" t="str">
        <f t="shared" si="8"/>
        <v/>
      </c>
    </row>
    <row r="24" spans="1:21" ht="15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9" t="str">
        <f t="shared" si="0"/>
        <v/>
      </c>
      <c r="N24" s="20" t="str">
        <f t="shared" si="1"/>
        <v/>
      </c>
      <c r="O24" s="21" t="str">
        <f t="shared" si="2"/>
        <v/>
      </c>
      <c r="P24" s="21" t="str">
        <f t="shared" si="3"/>
        <v/>
      </c>
      <c r="Q24" s="22" t="str">
        <f t="shared" si="4"/>
        <v/>
      </c>
      <c r="R24" s="21" t="str">
        <f t="shared" si="5"/>
        <v/>
      </c>
      <c r="S24" s="20" t="str">
        <f t="shared" si="6"/>
        <v/>
      </c>
      <c r="T24" s="22" t="str">
        <f t="shared" si="7"/>
        <v/>
      </c>
      <c r="U24" s="20" t="str">
        <f t="shared" si="8"/>
        <v/>
      </c>
    </row>
    <row r="25" spans="1:21" ht="15" customHeight="1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9" t="str">
        <f t="shared" si="0"/>
        <v/>
      </c>
      <c r="N25" s="20" t="str">
        <f t="shared" si="1"/>
        <v/>
      </c>
      <c r="O25" s="21" t="str">
        <f t="shared" si="2"/>
        <v/>
      </c>
      <c r="P25" s="21" t="str">
        <f t="shared" si="3"/>
        <v/>
      </c>
      <c r="Q25" s="22" t="str">
        <f t="shared" si="4"/>
        <v/>
      </c>
      <c r="R25" s="21" t="str">
        <f t="shared" si="5"/>
        <v/>
      </c>
      <c r="S25" s="20" t="str">
        <f t="shared" si="6"/>
        <v/>
      </c>
      <c r="T25" s="22" t="str">
        <f t="shared" si="7"/>
        <v/>
      </c>
      <c r="U25" s="20" t="str">
        <f t="shared" si="8"/>
        <v/>
      </c>
    </row>
    <row r="26" spans="1:21" ht="15" customHeight="1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 t="str">
        <f t="shared" si="0"/>
        <v/>
      </c>
      <c r="N26" s="20" t="str">
        <f t="shared" si="1"/>
        <v/>
      </c>
      <c r="O26" s="21" t="str">
        <f t="shared" si="2"/>
        <v/>
      </c>
      <c r="P26" s="21" t="str">
        <f t="shared" si="3"/>
        <v/>
      </c>
      <c r="Q26" s="22" t="str">
        <f t="shared" si="4"/>
        <v/>
      </c>
      <c r="R26" s="21" t="str">
        <f t="shared" si="5"/>
        <v/>
      </c>
      <c r="S26" s="20" t="str">
        <f t="shared" si="6"/>
        <v/>
      </c>
      <c r="T26" s="22" t="str">
        <f t="shared" si="7"/>
        <v/>
      </c>
      <c r="U26" s="20" t="str">
        <f t="shared" si="8"/>
        <v/>
      </c>
    </row>
    <row r="27" spans="1:21" ht="15" customHeight="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" t="str">
        <f t="shared" si="0"/>
        <v/>
      </c>
      <c r="N27" s="20" t="str">
        <f t="shared" si="1"/>
        <v/>
      </c>
      <c r="O27" s="21" t="str">
        <f t="shared" si="2"/>
        <v/>
      </c>
      <c r="P27" s="21" t="str">
        <f t="shared" si="3"/>
        <v/>
      </c>
      <c r="Q27" s="22" t="str">
        <f t="shared" si="4"/>
        <v/>
      </c>
      <c r="R27" s="21" t="str">
        <f t="shared" si="5"/>
        <v/>
      </c>
      <c r="S27" s="20" t="str">
        <f t="shared" si="6"/>
        <v/>
      </c>
      <c r="T27" s="22" t="str">
        <f t="shared" si="7"/>
        <v/>
      </c>
      <c r="U27" s="20" t="str">
        <f t="shared" si="8"/>
        <v/>
      </c>
    </row>
    <row r="28" spans="1:21" ht="15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9" t="str">
        <f t="shared" si="0"/>
        <v/>
      </c>
      <c r="N28" s="20" t="str">
        <f t="shared" si="1"/>
        <v/>
      </c>
      <c r="O28" s="21" t="str">
        <f t="shared" si="2"/>
        <v/>
      </c>
      <c r="P28" s="21" t="str">
        <f t="shared" si="3"/>
        <v/>
      </c>
      <c r="Q28" s="22" t="str">
        <f t="shared" si="4"/>
        <v/>
      </c>
      <c r="R28" s="21" t="str">
        <f t="shared" si="5"/>
        <v/>
      </c>
      <c r="S28" s="20" t="str">
        <f t="shared" si="6"/>
        <v/>
      </c>
      <c r="T28" s="22" t="str">
        <f t="shared" si="7"/>
        <v/>
      </c>
      <c r="U28" s="20" t="str">
        <f t="shared" si="8"/>
        <v/>
      </c>
    </row>
    <row r="29" spans="1:21" ht="15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 t="str">
        <f t="shared" si="0"/>
        <v/>
      </c>
      <c r="N29" s="20" t="str">
        <f t="shared" si="1"/>
        <v/>
      </c>
      <c r="O29" s="21" t="str">
        <f t="shared" si="2"/>
        <v/>
      </c>
      <c r="P29" s="21" t="str">
        <f t="shared" si="3"/>
        <v/>
      </c>
      <c r="Q29" s="22" t="str">
        <f t="shared" si="4"/>
        <v/>
      </c>
      <c r="R29" s="21" t="str">
        <f t="shared" si="5"/>
        <v/>
      </c>
      <c r="S29" s="20" t="str">
        <f t="shared" si="6"/>
        <v/>
      </c>
      <c r="T29" s="22" t="str">
        <f t="shared" si="7"/>
        <v/>
      </c>
      <c r="U29" s="20" t="str">
        <f t="shared" si="8"/>
        <v/>
      </c>
    </row>
    <row r="30" spans="1:21" ht="15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9" t="str">
        <f t="shared" si="0"/>
        <v/>
      </c>
      <c r="N30" s="20" t="str">
        <f t="shared" si="1"/>
        <v/>
      </c>
      <c r="O30" s="21" t="str">
        <f t="shared" si="2"/>
        <v/>
      </c>
      <c r="P30" s="21" t="str">
        <f t="shared" si="3"/>
        <v/>
      </c>
      <c r="Q30" s="22" t="str">
        <f t="shared" si="4"/>
        <v/>
      </c>
      <c r="R30" s="21" t="str">
        <f t="shared" si="5"/>
        <v/>
      </c>
      <c r="S30" s="20" t="str">
        <f t="shared" si="6"/>
        <v/>
      </c>
      <c r="T30" s="22" t="str">
        <f t="shared" si="7"/>
        <v/>
      </c>
      <c r="U30" s="20" t="str">
        <f t="shared" si="8"/>
        <v/>
      </c>
    </row>
    <row r="31" spans="1:21" ht="15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9" t="str">
        <f t="shared" si="0"/>
        <v/>
      </c>
      <c r="N31" s="20" t="str">
        <f t="shared" si="1"/>
        <v/>
      </c>
      <c r="O31" s="21" t="str">
        <f t="shared" si="2"/>
        <v/>
      </c>
      <c r="P31" s="21" t="str">
        <f t="shared" si="3"/>
        <v/>
      </c>
      <c r="Q31" s="22" t="str">
        <f t="shared" si="4"/>
        <v/>
      </c>
      <c r="R31" s="21" t="str">
        <f t="shared" si="5"/>
        <v/>
      </c>
      <c r="S31" s="20" t="str">
        <f t="shared" si="6"/>
        <v/>
      </c>
      <c r="T31" s="22" t="str">
        <f t="shared" si="7"/>
        <v/>
      </c>
      <c r="U31" s="20" t="str">
        <f t="shared" si="8"/>
        <v/>
      </c>
    </row>
    <row r="32" spans="1:21" ht="15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9" t="str">
        <f t="shared" si="0"/>
        <v/>
      </c>
      <c r="N32" s="20" t="str">
        <f t="shared" si="1"/>
        <v/>
      </c>
      <c r="O32" s="21" t="str">
        <f t="shared" si="2"/>
        <v/>
      </c>
      <c r="P32" s="21" t="str">
        <f t="shared" si="3"/>
        <v/>
      </c>
      <c r="Q32" s="22" t="str">
        <f t="shared" si="4"/>
        <v/>
      </c>
      <c r="R32" s="21" t="str">
        <f t="shared" si="5"/>
        <v/>
      </c>
      <c r="S32" s="20" t="str">
        <f t="shared" si="6"/>
        <v/>
      </c>
      <c r="T32" s="22" t="str">
        <f t="shared" si="7"/>
        <v/>
      </c>
      <c r="U32" s="20" t="str">
        <f t="shared" si="8"/>
        <v/>
      </c>
    </row>
    <row r="33" spans="1:21" ht="15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9" t="str">
        <f t="shared" si="0"/>
        <v/>
      </c>
      <c r="N33" s="20" t="str">
        <f t="shared" si="1"/>
        <v/>
      </c>
      <c r="O33" s="21" t="str">
        <f t="shared" si="2"/>
        <v/>
      </c>
      <c r="P33" s="21" t="str">
        <f t="shared" si="3"/>
        <v/>
      </c>
      <c r="Q33" s="22" t="str">
        <f t="shared" si="4"/>
        <v/>
      </c>
      <c r="R33" s="21" t="str">
        <f t="shared" si="5"/>
        <v/>
      </c>
      <c r="S33" s="20" t="str">
        <f t="shared" si="6"/>
        <v/>
      </c>
      <c r="T33" s="22" t="str">
        <f t="shared" si="7"/>
        <v/>
      </c>
      <c r="U33" s="20" t="str">
        <f t="shared" si="8"/>
        <v/>
      </c>
    </row>
    <row r="34" spans="1:21" ht="15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9" t="str">
        <f t="shared" si="0"/>
        <v/>
      </c>
      <c r="N34" s="20" t="str">
        <f t="shared" si="1"/>
        <v/>
      </c>
      <c r="O34" s="21" t="str">
        <f t="shared" si="2"/>
        <v/>
      </c>
      <c r="P34" s="21" t="str">
        <f t="shared" si="3"/>
        <v/>
      </c>
      <c r="Q34" s="22" t="str">
        <f t="shared" si="4"/>
        <v/>
      </c>
      <c r="R34" s="21" t="str">
        <f t="shared" si="5"/>
        <v/>
      </c>
      <c r="S34" s="20" t="str">
        <f t="shared" si="6"/>
        <v/>
      </c>
      <c r="T34" s="22" t="str">
        <f t="shared" si="7"/>
        <v/>
      </c>
      <c r="U34" s="20" t="str">
        <f t="shared" si="8"/>
        <v/>
      </c>
    </row>
    <row r="35" spans="1:21" ht="15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 t="str">
        <f t="shared" si="0"/>
        <v/>
      </c>
      <c r="N35" s="20" t="str">
        <f t="shared" si="1"/>
        <v/>
      </c>
      <c r="O35" s="21" t="str">
        <f t="shared" si="2"/>
        <v/>
      </c>
      <c r="P35" s="21" t="str">
        <f t="shared" si="3"/>
        <v/>
      </c>
      <c r="Q35" s="22" t="str">
        <f t="shared" si="4"/>
        <v/>
      </c>
      <c r="R35" s="21" t="str">
        <f t="shared" si="5"/>
        <v/>
      </c>
      <c r="S35" s="20" t="str">
        <f t="shared" si="6"/>
        <v/>
      </c>
      <c r="T35" s="22" t="str">
        <f t="shared" si="7"/>
        <v/>
      </c>
      <c r="U35" s="20" t="str">
        <f t="shared" si="8"/>
        <v/>
      </c>
    </row>
  </sheetData>
  <mergeCells count="3">
    <mergeCell ref="A1:U1"/>
    <mergeCell ref="A2:U2"/>
    <mergeCell ref="A3:U3"/>
  </mergeCells>
  <phoneticPr fontId="9" type="noConversion"/>
  <conditionalFormatting sqref="N6:N35">
    <cfRule type="cellIs" dxfId="32" priority="2" operator="equal">
      <formula>"Green"</formula>
    </cfRule>
    <cfRule type="cellIs" dxfId="31" priority="3" operator="equal">
      <formula>"Yellow"</formula>
    </cfRule>
    <cfRule type="cellIs" dxfId="30" priority="4" operator="equal">
      <formula>"Red"</formula>
    </cfRule>
  </conditionalFormatting>
  <conditionalFormatting sqref="S6:S35">
    <cfRule type="cellIs" dxfId="29" priority="5" operator="equal">
      <formula>"Green"</formula>
    </cfRule>
    <cfRule type="cellIs" dxfId="28" priority="6" operator="equal">
      <formula>"Yellow"</formula>
    </cfRule>
    <cfRule type="cellIs" dxfId="27" priority="7" operator="equal">
      <formula>"Red"</formula>
    </cfRule>
  </conditionalFormatting>
  <conditionalFormatting sqref="U6:U35">
    <cfRule type="cellIs" dxfId="26" priority="8" operator="equal">
      <formula>"Green"</formula>
    </cfRule>
    <cfRule type="cellIs" dxfId="25" priority="9" operator="equal">
      <formula>"Yellow"</formula>
    </cfRule>
    <cfRule type="cellIs" dxfId="24" priority="10" operator="equal">
      <formula>"Red"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entry" error="Please choose a value from the dropdown list." xr:uid="{00000000-0002-0000-0100-000000000000}">
          <x14:formula1>
            <xm:f>Lists!$B$2:$B$13</xm:f>
          </x14:formula1>
          <x14:formula2>
            <xm:f>0</xm:f>
          </x14:formula2>
          <xm:sqref>B6:B35</xm:sqref>
        </x14:dataValidation>
        <x14:dataValidation type="list" allowBlank="1" errorTitle="Invalid entry" error="Please choose a value from the dropdown list." xr:uid="{00000000-0002-0000-0100-000001000000}">
          <x14:formula1>
            <xm:f>Lists!$A$2:$A$5</xm:f>
          </x14:formula1>
          <x14:formula2>
            <xm:f>0</xm:f>
          </x14:formula2>
          <xm:sqref>C6:C35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8.6640625" defaultRowHeight="14.4" x14ac:dyDescent="0.3"/>
  <cols>
    <col min="1" max="1" width="20" style="1" customWidth="1"/>
    <col min="2" max="2" width="12" style="1" customWidth="1"/>
    <col min="3" max="4" width="13" style="1" customWidth="1"/>
    <col min="5" max="5" width="11" style="1" customWidth="1"/>
    <col min="6" max="6" width="15" style="1" customWidth="1"/>
    <col min="7" max="7" width="20" style="1" customWidth="1"/>
    <col min="8" max="8" width="12" style="1" customWidth="1"/>
    <col min="9" max="10" width="16" style="1" customWidth="1"/>
    <col min="11" max="11" width="11" style="1" customWidth="1"/>
  </cols>
  <sheetData>
    <row r="1" spans="1:11" ht="25.5" customHeight="1" x14ac:dyDescent="0.3">
      <c r="A1" s="31" t="s">
        <v>74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15.75" customHeight="1" x14ac:dyDescent="0.3">
      <c r="A2" s="32" t="s">
        <v>75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5" customHeight="1" x14ac:dyDescent="0.3">
      <c r="A3" s="32" t="s">
        <v>53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21.75" customHeight="1" x14ac:dyDescent="0.3">
      <c r="A4" s="33" t="s">
        <v>76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 ht="31.5" customHeight="1" x14ac:dyDescent="0.3">
      <c r="A5" s="11" t="s">
        <v>77</v>
      </c>
      <c r="B5" s="11" t="s">
        <v>56</v>
      </c>
      <c r="C5" s="11" t="s">
        <v>78</v>
      </c>
      <c r="D5" s="11" t="s">
        <v>79</v>
      </c>
      <c r="E5" s="11" t="s">
        <v>80</v>
      </c>
      <c r="F5" s="11" t="s">
        <v>81</v>
      </c>
      <c r="G5" s="11" t="s">
        <v>82</v>
      </c>
      <c r="H5" s="11" t="s">
        <v>83</v>
      </c>
      <c r="I5" s="11" t="s">
        <v>84</v>
      </c>
      <c r="J5" s="11" t="s">
        <v>66</v>
      </c>
      <c r="K5" s="11" t="s">
        <v>67</v>
      </c>
    </row>
    <row r="6" spans="1:11" ht="15" customHeight="1" x14ac:dyDescent="0.3">
      <c r="A6" s="14" t="s">
        <v>208</v>
      </c>
      <c r="B6" s="14" t="s">
        <v>169</v>
      </c>
      <c r="C6" s="23">
        <v>46023</v>
      </c>
      <c r="D6" s="23">
        <v>46112</v>
      </c>
      <c r="E6" s="14" t="s">
        <v>85</v>
      </c>
      <c r="F6" s="14">
        <v>7363</v>
      </c>
      <c r="G6" s="14" t="s">
        <v>175</v>
      </c>
      <c r="H6" s="14">
        <f t="shared" ref="H6:H25" si="0">IF(OR(C6="",D6=""),"",D6-C6)</f>
        <v>89</v>
      </c>
      <c r="I6" s="16">
        <f t="shared" ref="I6:I25" si="1">IFERROR(G6/F6,"")</f>
        <v>516.09398343066687</v>
      </c>
      <c r="J6" s="15">
        <f t="shared" ref="J6:J25" si="2">IFERROR(G6/F6,"")</f>
        <v>516.09398343066687</v>
      </c>
      <c r="K6" s="14" t="str">
        <f t="shared" ref="K6:K25" si="3">IFERROR(IF(ISNUMBER(J6),IF(J6&gt;5,"Green",IF(J6&gt;=3,"Yellow","Red")),""),"")</f>
        <v>Green</v>
      </c>
    </row>
    <row r="7" spans="1:11" ht="15" customHeight="1" x14ac:dyDescent="0.3">
      <c r="A7" s="18" t="s">
        <v>209</v>
      </c>
      <c r="B7" s="18" t="s">
        <v>169</v>
      </c>
      <c r="C7" s="23">
        <v>46113</v>
      </c>
      <c r="D7" s="23">
        <v>46173</v>
      </c>
      <c r="E7" s="18" t="s">
        <v>85</v>
      </c>
      <c r="F7" s="18" t="s">
        <v>211</v>
      </c>
      <c r="G7" s="18" t="s">
        <v>213</v>
      </c>
      <c r="H7" s="20">
        <f t="shared" si="0"/>
        <v>60</v>
      </c>
      <c r="I7" s="21">
        <f t="shared" si="1"/>
        <v>33.046605433250718</v>
      </c>
      <c r="J7" s="19">
        <f t="shared" si="2"/>
        <v>33.046605433250718</v>
      </c>
      <c r="K7" s="20" t="str">
        <f t="shared" si="3"/>
        <v>Green</v>
      </c>
    </row>
    <row r="8" spans="1:11" ht="15" customHeight="1" x14ac:dyDescent="0.3">
      <c r="A8" s="18" t="s">
        <v>210</v>
      </c>
      <c r="B8" s="18" t="s">
        <v>169</v>
      </c>
      <c r="C8" s="23">
        <v>46174</v>
      </c>
      <c r="D8" s="23">
        <v>46295</v>
      </c>
      <c r="E8" s="18" t="s">
        <v>85</v>
      </c>
      <c r="F8" s="18" t="s">
        <v>212</v>
      </c>
      <c r="G8" s="18" t="s">
        <v>195</v>
      </c>
      <c r="H8" s="20">
        <f t="shared" si="0"/>
        <v>121</v>
      </c>
      <c r="I8" s="21">
        <f t="shared" si="1"/>
        <v>18.475552118243534</v>
      </c>
      <c r="J8" s="19">
        <f t="shared" si="2"/>
        <v>18.475552118243534</v>
      </c>
      <c r="K8" s="20" t="str">
        <f t="shared" si="3"/>
        <v>Green</v>
      </c>
    </row>
    <row r="9" spans="1:11" ht="15" customHeight="1" x14ac:dyDescent="0.3">
      <c r="A9" s="18"/>
      <c r="B9" s="18"/>
      <c r="C9" s="24"/>
      <c r="D9" s="24"/>
      <c r="E9" s="18"/>
      <c r="F9" s="18"/>
      <c r="G9" s="18"/>
      <c r="H9" s="20" t="str">
        <f t="shared" si="0"/>
        <v/>
      </c>
      <c r="I9" s="21" t="str">
        <f t="shared" si="1"/>
        <v/>
      </c>
      <c r="J9" s="19" t="str">
        <f t="shared" si="2"/>
        <v/>
      </c>
      <c r="K9" s="20" t="str">
        <f t="shared" si="3"/>
        <v/>
      </c>
    </row>
    <row r="10" spans="1:11" ht="15" customHeight="1" x14ac:dyDescent="0.3">
      <c r="A10" s="18"/>
      <c r="B10" s="18"/>
      <c r="C10" s="24"/>
      <c r="D10" s="24"/>
      <c r="E10" s="18"/>
      <c r="F10" s="18"/>
      <c r="G10" s="18"/>
      <c r="H10" s="20" t="str">
        <f t="shared" si="0"/>
        <v/>
      </c>
      <c r="I10" s="21" t="str">
        <f t="shared" si="1"/>
        <v/>
      </c>
      <c r="J10" s="19" t="str">
        <f t="shared" si="2"/>
        <v/>
      </c>
      <c r="K10" s="20" t="str">
        <f t="shared" si="3"/>
        <v/>
      </c>
    </row>
    <row r="11" spans="1:11" ht="15" customHeight="1" x14ac:dyDescent="0.3">
      <c r="A11" s="18"/>
      <c r="B11" s="18"/>
      <c r="C11" s="24"/>
      <c r="D11" s="24"/>
      <c r="E11" s="18"/>
      <c r="F11" s="18"/>
      <c r="G11" s="18"/>
      <c r="H11" s="20" t="str">
        <f t="shared" si="0"/>
        <v/>
      </c>
      <c r="I11" s="21" t="str">
        <f t="shared" si="1"/>
        <v/>
      </c>
      <c r="J11" s="19" t="str">
        <f t="shared" si="2"/>
        <v/>
      </c>
      <c r="K11" s="20" t="str">
        <f t="shared" si="3"/>
        <v/>
      </c>
    </row>
    <row r="12" spans="1:11" ht="15" customHeight="1" x14ac:dyDescent="0.3">
      <c r="A12" s="18"/>
      <c r="B12" s="18"/>
      <c r="C12" s="24"/>
      <c r="D12" s="24"/>
      <c r="E12" s="18"/>
      <c r="F12" s="18"/>
      <c r="G12" s="18"/>
      <c r="H12" s="20" t="str">
        <f t="shared" si="0"/>
        <v/>
      </c>
      <c r="I12" s="21" t="str">
        <f t="shared" si="1"/>
        <v/>
      </c>
      <c r="J12" s="19" t="str">
        <f t="shared" si="2"/>
        <v/>
      </c>
      <c r="K12" s="20" t="str">
        <f t="shared" si="3"/>
        <v/>
      </c>
    </row>
    <row r="13" spans="1:11" ht="15" customHeight="1" x14ac:dyDescent="0.3">
      <c r="A13" s="18"/>
      <c r="B13" s="18"/>
      <c r="C13" s="24"/>
      <c r="D13" s="24"/>
      <c r="E13" s="18"/>
      <c r="F13" s="18"/>
      <c r="G13" s="18"/>
      <c r="H13" s="20" t="str">
        <f t="shared" si="0"/>
        <v/>
      </c>
      <c r="I13" s="21" t="str">
        <f t="shared" si="1"/>
        <v/>
      </c>
      <c r="J13" s="19" t="str">
        <f t="shared" si="2"/>
        <v/>
      </c>
      <c r="K13" s="20" t="str">
        <f t="shared" si="3"/>
        <v/>
      </c>
    </row>
    <row r="14" spans="1:11" ht="15" customHeight="1" x14ac:dyDescent="0.3">
      <c r="A14" s="18"/>
      <c r="B14" s="18"/>
      <c r="C14" s="24"/>
      <c r="D14" s="24"/>
      <c r="E14" s="18"/>
      <c r="F14" s="18"/>
      <c r="G14" s="18"/>
      <c r="H14" s="20" t="str">
        <f t="shared" si="0"/>
        <v/>
      </c>
      <c r="I14" s="21" t="str">
        <f t="shared" si="1"/>
        <v/>
      </c>
      <c r="J14" s="19" t="str">
        <f t="shared" si="2"/>
        <v/>
      </c>
      <c r="K14" s="20" t="str">
        <f t="shared" si="3"/>
        <v/>
      </c>
    </row>
    <row r="15" spans="1:11" ht="15" customHeight="1" x14ac:dyDescent="0.3">
      <c r="A15" s="18"/>
      <c r="B15" s="18"/>
      <c r="C15" s="24"/>
      <c r="D15" s="24"/>
      <c r="E15" s="18"/>
      <c r="F15" s="18"/>
      <c r="G15" s="18"/>
      <c r="H15" s="20" t="str">
        <f t="shared" si="0"/>
        <v/>
      </c>
      <c r="I15" s="21" t="str">
        <f t="shared" si="1"/>
        <v/>
      </c>
      <c r="J15" s="19" t="str">
        <f t="shared" si="2"/>
        <v/>
      </c>
      <c r="K15" s="20" t="str">
        <f t="shared" si="3"/>
        <v/>
      </c>
    </row>
    <row r="16" spans="1:11" ht="15" customHeight="1" x14ac:dyDescent="0.3">
      <c r="A16" s="18"/>
      <c r="B16" s="18"/>
      <c r="C16" s="24"/>
      <c r="D16" s="24"/>
      <c r="E16" s="18"/>
      <c r="F16" s="18"/>
      <c r="G16" s="18"/>
      <c r="H16" s="20" t="str">
        <f t="shared" si="0"/>
        <v/>
      </c>
      <c r="I16" s="21" t="str">
        <f t="shared" si="1"/>
        <v/>
      </c>
      <c r="J16" s="19" t="str">
        <f t="shared" si="2"/>
        <v/>
      </c>
      <c r="K16" s="20" t="str">
        <f t="shared" si="3"/>
        <v/>
      </c>
    </row>
    <row r="17" spans="1:11" ht="15" customHeight="1" x14ac:dyDescent="0.3">
      <c r="A17" s="18"/>
      <c r="B17" s="18"/>
      <c r="C17" s="24"/>
      <c r="D17" s="24"/>
      <c r="E17" s="18"/>
      <c r="F17" s="18"/>
      <c r="G17" s="18"/>
      <c r="H17" s="20" t="str">
        <f t="shared" si="0"/>
        <v/>
      </c>
      <c r="I17" s="21" t="str">
        <f t="shared" si="1"/>
        <v/>
      </c>
      <c r="J17" s="19" t="str">
        <f t="shared" si="2"/>
        <v/>
      </c>
      <c r="K17" s="20" t="str">
        <f t="shared" si="3"/>
        <v/>
      </c>
    </row>
    <row r="18" spans="1:11" ht="15" customHeight="1" x14ac:dyDescent="0.3">
      <c r="A18" s="18"/>
      <c r="B18" s="18"/>
      <c r="C18" s="24"/>
      <c r="D18" s="24"/>
      <c r="E18" s="18"/>
      <c r="F18" s="18"/>
      <c r="G18" s="18"/>
      <c r="H18" s="20" t="str">
        <f t="shared" si="0"/>
        <v/>
      </c>
      <c r="I18" s="21" t="str">
        <f t="shared" si="1"/>
        <v/>
      </c>
      <c r="J18" s="19" t="str">
        <f t="shared" si="2"/>
        <v/>
      </c>
      <c r="K18" s="20" t="str">
        <f t="shared" si="3"/>
        <v/>
      </c>
    </row>
    <row r="19" spans="1:11" ht="15" customHeight="1" x14ac:dyDescent="0.3">
      <c r="A19" s="18"/>
      <c r="B19" s="18"/>
      <c r="C19" s="24"/>
      <c r="D19" s="24"/>
      <c r="E19" s="18"/>
      <c r="F19" s="18"/>
      <c r="G19" s="18"/>
      <c r="H19" s="20" t="str">
        <f t="shared" si="0"/>
        <v/>
      </c>
      <c r="I19" s="21" t="str">
        <f t="shared" si="1"/>
        <v/>
      </c>
      <c r="J19" s="19" t="str">
        <f t="shared" si="2"/>
        <v/>
      </c>
      <c r="K19" s="20" t="str">
        <f t="shared" si="3"/>
        <v/>
      </c>
    </row>
    <row r="20" spans="1:11" ht="15" customHeight="1" x14ac:dyDescent="0.3">
      <c r="A20" s="18"/>
      <c r="B20" s="18"/>
      <c r="C20" s="24"/>
      <c r="D20" s="24"/>
      <c r="E20" s="18"/>
      <c r="F20" s="18"/>
      <c r="G20" s="18"/>
      <c r="H20" s="20" t="str">
        <f t="shared" si="0"/>
        <v/>
      </c>
      <c r="I20" s="21" t="str">
        <f t="shared" si="1"/>
        <v/>
      </c>
      <c r="J20" s="19" t="str">
        <f t="shared" si="2"/>
        <v/>
      </c>
      <c r="K20" s="20" t="str">
        <f t="shared" si="3"/>
        <v/>
      </c>
    </row>
    <row r="21" spans="1:11" ht="15" customHeight="1" x14ac:dyDescent="0.3">
      <c r="A21" s="18"/>
      <c r="B21" s="18"/>
      <c r="C21" s="24"/>
      <c r="D21" s="24"/>
      <c r="E21" s="18"/>
      <c r="F21" s="18"/>
      <c r="G21" s="18"/>
      <c r="H21" s="20" t="str">
        <f t="shared" si="0"/>
        <v/>
      </c>
      <c r="I21" s="21" t="str">
        <f t="shared" si="1"/>
        <v/>
      </c>
      <c r="J21" s="19" t="str">
        <f t="shared" si="2"/>
        <v/>
      </c>
      <c r="K21" s="20" t="str">
        <f t="shared" si="3"/>
        <v/>
      </c>
    </row>
    <row r="22" spans="1:11" ht="15" customHeight="1" x14ac:dyDescent="0.3">
      <c r="A22" s="18"/>
      <c r="B22" s="18"/>
      <c r="C22" s="24"/>
      <c r="D22" s="24"/>
      <c r="E22" s="18"/>
      <c r="F22" s="18"/>
      <c r="G22" s="18"/>
      <c r="H22" s="20" t="str">
        <f t="shared" si="0"/>
        <v/>
      </c>
      <c r="I22" s="21" t="str">
        <f t="shared" si="1"/>
        <v/>
      </c>
      <c r="J22" s="19" t="str">
        <f t="shared" si="2"/>
        <v/>
      </c>
      <c r="K22" s="20" t="str">
        <f t="shared" si="3"/>
        <v/>
      </c>
    </row>
    <row r="23" spans="1:11" ht="15" customHeight="1" x14ac:dyDescent="0.3">
      <c r="A23" s="18"/>
      <c r="B23" s="18"/>
      <c r="C23" s="24"/>
      <c r="D23" s="24"/>
      <c r="E23" s="18"/>
      <c r="F23" s="18"/>
      <c r="G23" s="18"/>
      <c r="H23" s="20" t="str">
        <f t="shared" si="0"/>
        <v/>
      </c>
      <c r="I23" s="21" t="str">
        <f t="shared" si="1"/>
        <v/>
      </c>
      <c r="J23" s="19" t="str">
        <f t="shared" si="2"/>
        <v/>
      </c>
      <c r="K23" s="20" t="str">
        <f t="shared" si="3"/>
        <v/>
      </c>
    </row>
    <row r="24" spans="1:11" ht="15" customHeight="1" x14ac:dyDescent="0.3">
      <c r="A24" s="18"/>
      <c r="B24" s="18"/>
      <c r="C24" s="24"/>
      <c r="D24" s="24"/>
      <c r="E24" s="18"/>
      <c r="F24" s="18"/>
      <c r="G24" s="18"/>
      <c r="H24" s="20" t="str">
        <f t="shared" si="0"/>
        <v/>
      </c>
      <c r="I24" s="21" t="str">
        <f t="shared" si="1"/>
        <v/>
      </c>
      <c r="J24" s="19" t="str">
        <f t="shared" si="2"/>
        <v/>
      </c>
      <c r="K24" s="20" t="str">
        <f t="shared" si="3"/>
        <v/>
      </c>
    </row>
    <row r="25" spans="1:11" ht="15" customHeight="1" x14ac:dyDescent="0.3">
      <c r="A25" s="18"/>
      <c r="B25" s="18"/>
      <c r="C25" s="24"/>
      <c r="D25" s="24"/>
      <c r="E25" s="18"/>
      <c r="F25" s="18"/>
      <c r="G25" s="18"/>
      <c r="H25" s="20" t="str">
        <f t="shared" si="0"/>
        <v/>
      </c>
      <c r="I25" s="21" t="str">
        <f t="shared" si="1"/>
        <v/>
      </c>
      <c r="J25" s="19" t="str">
        <f t="shared" si="2"/>
        <v/>
      </c>
      <c r="K25" s="20" t="str">
        <f t="shared" si="3"/>
        <v/>
      </c>
    </row>
    <row r="28" spans="1:11" ht="21.75" customHeight="1" x14ac:dyDescent="0.3">
      <c r="A28" s="33" t="s">
        <v>86</v>
      </c>
      <c r="B28" s="33"/>
      <c r="C28" s="33"/>
      <c r="D28" s="33"/>
    </row>
    <row r="29" spans="1:11" ht="31.5" customHeight="1" x14ac:dyDescent="0.3">
      <c r="A29" s="11" t="s">
        <v>77</v>
      </c>
      <c r="B29" s="11" t="s">
        <v>87</v>
      </c>
      <c r="C29" s="11" t="s">
        <v>88</v>
      </c>
      <c r="D29" s="11" t="s">
        <v>89</v>
      </c>
    </row>
    <row r="30" spans="1:11" ht="15" customHeight="1" x14ac:dyDescent="0.3">
      <c r="A30" s="14" t="s">
        <v>210</v>
      </c>
      <c r="B30" s="14" t="s">
        <v>90</v>
      </c>
      <c r="C30" s="14">
        <v>45</v>
      </c>
      <c r="D30" s="14">
        <v>362000</v>
      </c>
    </row>
    <row r="31" spans="1:11" ht="15" customHeight="1" x14ac:dyDescent="0.3">
      <c r="A31" s="18" t="s">
        <v>210</v>
      </c>
      <c r="B31" s="18" t="s">
        <v>149</v>
      </c>
      <c r="C31" s="20">
        <v>9</v>
      </c>
      <c r="D31" s="20">
        <v>70000</v>
      </c>
    </row>
    <row r="32" spans="1:11" ht="15" customHeight="1" x14ac:dyDescent="0.3">
      <c r="A32" s="18" t="s">
        <v>210</v>
      </c>
      <c r="B32" s="18" t="s">
        <v>144</v>
      </c>
      <c r="C32" s="20">
        <v>1</v>
      </c>
      <c r="D32" s="20">
        <v>55000</v>
      </c>
    </row>
    <row r="33" spans="1:4" ht="15" customHeight="1" x14ac:dyDescent="0.3">
      <c r="A33" s="18"/>
      <c r="B33" s="18"/>
      <c r="C33" s="20"/>
      <c r="D33" s="20"/>
    </row>
    <row r="34" spans="1:4" ht="15" customHeight="1" x14ac:dyDescent="0.3">
      <c r="A34" s="18"/>
      <c r="B34" s="18"/>
      <c r="C34" s="20"/>
      <c r="D34" s="20"/>
    </row>
    <row r="35" spans="1:4" ht="15" customHeight="1" x14ac:dyDescent="0.3">
      <c r="A35" s="18"/>
      <c r="B35" s="18"/>
      <c r="C35" s="20"/>
      <c r="D35" s="20"/>
    </row>
    <row r="36" spans="1:4" ht="15" customHeight="1" x14ac:dyDescent="0.3">
      <c r="A36" s="18"/>
      <c r="B36" s="18"/>
      <c r="C36" s="20"/>
      <c r="D36" s="20"/>
    </row>
    <row r="37" spans="1:4" ht="15" customHeight="1" x14ac:dyDescent="0.3">
      <c r="A37" s="18"/>
      <c r="B37" s="18"/>
      <c r="C37" s="20"/>
      <c r="D37" s="20"/>
    </row>
    <row r="38" spans="1:4" ht="15" customHeight="1" x14ac:dyDescent="0.3">
      <c r="A38" s="18"/>
      <c r="B38" s="18"/>
      <c r="C38" s="20"/>
      <c r="D38" s="20"/>
    </row>
    <row r="39" spans="1:4" ht="15" customHeight="1" x14ac:dyDescent="0.3">
      <c r="A39" s="18"/>
      <c r="B39" s="18"/>
      <c r="C39" s="20"/>
      <c r="D39" s="20"/>
    </row>
    <row r="40" spans="1:4" ht="15" customHeight="1" x14ac:dyDescent="0.3">
      <c r="A40" s="18"/>
      <c r="B40" s="18"/>
      <c r="C40" s="20"/>
      <c r="D40" s="20"/>
    </row>
    <row r="41" spans="1:4" ht="15" customHeight="1" x14ac:dyDescent="0.3">
      <c r="A41" s="18"/>
      <c r="B41" s="18"/>
      <c r="C41" s="20"/>
      <c r="D41" s="20"/>
    </row>
    <row r="42" spans="1:4" ht="15" customHeight="1" x14ac:dyDescent="0.3">
      <c r="A42" s="18"/>
      <c r="B42" s="18"/>
      <c r="C42" s="20"/>
      <c r="D42" s="20"/>
    </row>
    <row r="43" spans="1:4" ht="15" customHeight="1" x14ac:dyDescent="0.3">
      <c r="A43" s="18"/>
      <c r="B43" s="18"/>
      <c r="C43" s="20"/>
      <c r="D43" s="20"/>
    </row>
    <row r="44" spans="1:4" ht="15" customHeight="1" x14ac:dyDescent="0.3">
      <c r="A44" s="18"/>
      <c r="B44" s="18"/>
      <c r="C44" s="20"/>
      <c r="D44" s="20"/>
    </row>
    <row r="45" spans="1:4" ht="15" customHeight="1" x14ac:dyDescent="0.3">
      <c r="A45" s="18"/>
      <c r="B45" s="18"/>
      <c r="C45" s="20"/>
      <c r="D45" s="20"/>
    </row>
    <row r="46" spans="1:4" ht="15" customHeight="1" x14ac:dyDescent="0.3">
      <c r="A46" s="18"/>
      <c r="B46" s="18"/>
      <c r="C46" s="20"/>
      <c r="D46" s="20"/>
    </row>
    <row r="47" spans="1:4" ht="15" customHeight="1" x14ac:dyDescent="0.3">
      <c r="A47" s="18"/>
      <c r="B47" s="18"/>
      <c r="C47" s="20"/>
      <c r="D47" s="20"/>
    </row>
    <row r="48" spans="1:4" ht="15" customHeight="1" x14ac:dyDescent="0.3">
      <c r="A48" s="18"/>
      <c r="B48" s="18"/>
      <c r="C48" s="20"/>
      <c r="D48" s="20"/>
    </row>
    <row r="49" spans="1:4" ht="15" customHeight="1" x14ac:dyDescent="0.3">
      <c r="A49" s="18"/>
      <c r="B49" s="18"/>
      <c r="C49" s="20"/>
      <c r="D49" s="20"/>
    </row>
    <row r="50" spans="1:4" ht="15" customHeight="1" x14ac:dyDescent="0.3">
      <c r="A50" s="18"/>
      <c r="B50" s="18"/>
      <c r="C50" s="20"/>
      <c r="D50" s="20"/>
    </row>
    <row r="51" spans="1:4" ht="15" customHeight="1" x14ac:dyDescent="0.3">
      <c r="A51" s="18"/>
      <c r="B51" s="18"/>
      <c r="C51" s="20"/>
      <c r="D51" s="20"/>
    </row>
    <row r="52" spans="1:4" ht="15" customHeight="1" x14ac:dyDescent="0.3">
      <c r="A52" s="18"/>
      <c r="B52" s="18"/>
      <c r="C52" s="20"/>
      <c r="D52" s="20"/>
    </row>
    <row r="53" spans="1:4" ht="15" customHeight="1" x14ac:dyDescent="0.3">
      <c r="A53" s="18"/>
      <c r="B53" s="18"/>
      <c r="C53" s="20"/>
      <c r="D53" s="20"/>
    </row>
    <row r="54" spans="1:4" ht="15" customHeight="1" x14ac:dyDescent="0.3">
      <c r="A54" s="18"/>
      <c r="B54" s="18"/>
      <c r="C54" s="20"/>
      <c r="D54" s="20"/>
    </row>
    <row r="55" spans="1:4" ht="15" customHeight="1" x14ac:dyDescent="0.3">
      <c r="A55" s="18"/>
      <c r="B55" s="18"/>
      <c r="C55" s="20"/>
      <c r="D55" s="20"/>
    </row>
    <row r="56" spans="1:4" ht="15" customHeight="1" x14ac:dyDescent="0.3">
      <c r="A56" s="18"/>
      <c r="B56" s="18"/>
      <c r="C56" s="20"/>
      <c r="D56" s="20"/>
    </row>
    <row r="57" spans="1:4" ht="15" customHeight="1" x14ac:dyDescent="0.3">
      <c r="A57" s="18"/>
      <c r="B57" s="18"/>
      <c r="C57" s="20"/>
      <c r="D57" s="20"/>
    </row>
    <row r="58" spans="1:4" ht="15" customHeight="1" x14ac:dyDescent="0.3">
      <c r="A58" s="18"/>
      <c r="B58" s="18"/>
      <c r="C58" s="20"/>
      <c r="D58" s="20"/>
    </row>
    <row r="59" spans="1:4" ht="15" customHeight="1" x14ac:dyDescent="0.3">
      <c r="A59" s="18"/>
      <c r="B59" s="18"/>
      <c r="C59" s="20"/>
      <c r="D59" s="20"/>
    </row>
  </sheetData>
  <mergeCells count="5">
    <mergeCell ref="A1:K1"/>
    <mergeCell ref="A2:K2"/>
    <mergeCell ref="A3:K3"/>
    <mergeCell ref="A4:K4"/>
    <mergeCell ref="A28:D28"/>
  </mergeCells>
  <conditionalFormatting sqref="K6:K25">
    <cfRule type="cellIs" dxfId="23" priority="2" operator="equal">
      <formula>"Green"</formula>
    </cfRule>
    <cfRule type="cellIs" dxfId="22" priority="3" operator="equal">
      <formula>"Yellow"</formula>
    </cfRule>
    <cfRule type="cellIs" dxfId="21" priority="4" operator="equal">
      <formula>"Red"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entry" error="Please choose a value from the dropdown list." xr:uid="{00000000-0002-0000-0200-000000000000}">
          <x14:formula1>
            <xm:f>Lists!$A$2:$A$5</xm:f>
          </x14:formula1>
          <x14:formula2>
            <xm:f>0</xm:f>
          </x14:formula2>
          <xm:sqref>B6:B25</xm:sqref>
        </x14:dataValidation>
        <x14:dataValidation type="list" allowBlank="1" errorTitle="Invalid entry" error="Please choose a value from the dropdown list." xr:uid="{00000000-0002-0000-0200-000001000000}">
          <x14:formula1>
            <xm:f>Lists!$E$2:$E$5</xm:f>
          </x14:formula1>
          <x14:formula2>
            <xm:f>0</xm:f>
          </x14:formula2>
          <xm:sqref>E6:E25</xm:sqref>
        </x14:dataValidation>
        <x14:dataValidation type="list" allowBlank="1" errorTitle="Invalid entry" error="Please choose a value from the dropdown list." xr:uid="{00000000-0002-0000-0200-000002000000}">
          <x14:formula1>
            <xm:f>Lists!$D$2:$D$6</xm:f>
          </x14:formula1>
          <x14:formula2>
            <xm:f>0</xm:f>
          </x14:formula2>
          <xm:sqref>B30:B59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3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I40" sqref="I40"/>
    </sheetView>
  </sheetViews>
  <sheetFormatPr defaultColWidth="8.6640625" defaultRowHeight="14.4" x14ac:dyDescent="0.3"/>
  <cols>
    <col min="1" max="1" width="7" style="1" customWidth="1"/>
    <col min="2" max="3" width="11" style="1" customWidth="1"/>
    <col min="4" max="4" width="14" style="1" customWidth="1"/>
    <col min="5" max="5" width="13" style="1" customWidth="1"/>
    <col min="6" max="6" width="11" style="1" customWidth="1"/>
    <col min="7" max="8" width="20" style="1" customWidth="1"/>
    <col min="9" max="9" width="14" style="1" customWidth="1"/>
    <col min="10" max="10" width="9" style="1" customWidth="1"/>
    <col min="11" max="11" width="11" style="1" customWidth="1"/>
    <col min="12" max="12" width="14" style="1" customWidth="1"/>
    <col min="13" max="13" width="13" style="1" customWidth="1"/>
  </cols>
  <sheetData>
    <row r="1" spans="1:13" ht="25.5" customHeight="1" x14ac:dyDescent="0.3">
      <c r="A1" s="31" t="s">
        <v>91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15.75" customHeight="1" x14ac:dyDescent="0.3">
      <c r="A2" s="32" t="s">
        <v>92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ht="15" customHeight="1" x14ac:dyDescent="0.3">
      <c r="A3" s="32" t="s">
        <v>53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ht="21.75" customHeight="1" x14ac:dyDescent="0.3">
      <c r="A4" s="33" t="s">
        <v>93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ht="31.5" customHeight="1" x14ac:dyDescent="0.3">
      <c r="A5" s="11" t="s">
        <v>54</v>
      </c>
      <c r="B5" s="11" t="s">
        <v>55</v>
      </c>
      <c r="C5" s="11" t="s">
        <v>94</v>
      </c>
      <c r="D5" s="11" t="s">
        <v>95</v>
      </c>
      <c r="E5" s="11" t="s">
        <v>96</v>
      </c>
      <c r="F5" s="11" t="s">
        <v>97</v>
      </c>
      <c r="G5" s="11" t="s">
        <v>98</v>
      </c>
      <c r="H5" s="11" t="s">
        <v>99</v>
      </c>
      <c r="I5" s="11" t="s">
        <v>100</v>
      </c>
      <c r="J5" s="11" t="s">
        <v>101</v>
      </c>
      <c r="K5" s="11" t="s">
        <v>102</v>
      </c>
      <c r="L5" s="11" t="s">
        <v>103</v>
      </c>
      <c r="M5" s="11" t="s">
        <v>104</v>
      </c>
    </row>
    <row r="6" spans="1:13" ht="15" customHeight="1" x14ac:dyDescent="0.3">
      <c r="A6" s="14">
        <v>2026</v>
      </c>
      <c r="B6" s="14" t="s">
        <v>138</v>
      </c>
      <c r="C6" s="18" t="s">
        <v>139</v>
      </c>
      <c r="D6" s="14">
        <v>93</v>
      </c>
      <c r="E6" s="14" t="s">
        <v>214</v>
      </c>
      <c r="F6" s="14">
        <v>644</v>
      </c>
      <c r="G6" s="14">
        <v>4200</v>
      </c>
      <c r="H6" s="14">
        <v>3100</v>
      </c>
      <c r="I6" s="14">
        <v>7300</v>
      </c>
      <c r="J6" s="16" t="str">
        <f t="shared" ref="J6:J35" si="0">IFERROR(F6/E6,"")</f>
        <v/>
      </c>
      <c r="K6" s="14" t="str">
        <f t="shared" ref="K6:K35" si="1">IFERROR(IF(ISNUMBER(J6),IF(J6&gt;0.05,"Green",IF(J6&gt;=0.03,"Yellow","Red")),""),"")</f>
        <v/>
      </c>
      <c r="L6" s="16" t="str">
        <f t="shared" ref="L6:L35" si="2">IFERROR(I6/E6,"")</f>
        <v/>
      </c>
      <c r="M6" s="14" t="str">
        <f t="shared" ref="M6:M35" si="3">IFERROR(IF(ISNUMBER(L6),IF(L6&gt;0.05,"Green",IF(L6&gt;=0.03,"Yellow","Red")),""),"")</f>
        <v/>
      </c>
    </row>
    <row r="7" spans="1:13" ht="15" customHeight="1" x14ac:dyDescent="0.3">
      <c r="A7" s="14">
        <v>2026</v>
      </c>
      <c r="B7" s="18" t="s">
        <v>138</v>
      </c>
      <c r="C7" s="18" t="s">
        <v>105</v>
      </c>
      <c r="D7" s="18">
        <v>19</v>
      </c>
      <c r="E7" s="18" t="s">
        <v>214</v>
      </c>
      <c r="F7" s="18">
        <v>568</v>
      </c>
      <c r="G7" s="20">
        <v>0</v>
      </c>
      <c r="H7" s="20">
        <v>0</v>
      </c>
      <c r="I7" s="20">
        <v>0</v>
      </c>
      <c r="J7" s="21" t="str">
        <f t="shared" si="0"/>
        <v/>
      </c>
      <c r="K7" s="20" t="str">
        <f t="shared" si="1"/>
        <v/>
      </c>
      <c r="L7" s="21" t="str">
        <f t="shared" si="2"/>
        <v/>
      </c>
      <c r="M7" s="20" t="str">
        <f t="shared" si="3"/>
        <v/>
      </c>
    </row>
    <row r="8" spans="1:13" ht="15" customHeight="1" x14ac:dyDescent="0.3">
      <c r="A8" s="14">
        <v>2026</v>
      </c>
      <c r="B8" s="18" t="s">
        <v>142</v>
      </c>
      <c r="C8" s="18" t="s">
        <v>139</v>
      </c>
      <c r="D8" s="18">
        <v>164</v>
      </c>
      <c r="E8" s="18" t="s">
        <v>215</v>
      </c>
      <c r="F8" s="18" t="s">
        <v>216</v>
      </c>
      <c r="G8" s="20">
        <v>0</v>
      </c>
      <c r="H8" s="20">
        <v>0</v>
      </c>
      <c r="I8" s="20">
        <v>0</v>
      </c>
      <c r="J8" s="21" t="str">
        <f t="shared" si="0"/>
        <v/>
      </c>
      <c r="K8" s="20" t="str">
        <f t="shared" si="1"/>
        <v/>
      </c>
      <c r="L8" s="21" t="str">
        <f t="shared" si="2"/>
        <v/>
      </c>
      <c r="M8" s="20" t="str">
        <f t="shared" si="3"/>
        <v/>
      </c>
    </row>
    <row r="9" spans="1:13" ht="15" customHeight="1" x14ac:dyDescent="0.3">
      <c r="A9" s="14">
        <v>2026</v>
      </c>
      <c r="B9" s="18" t="s">
        <v>142</v>
      </c>
      <c r="C9" s="18" t="s">
        <v>105</v>
      </c>
      <c r="D9" s="18">
        <v>100</v>
      </c>
      <c r="E9" s="18" t="s">
        <v>217</v>
      </c>
      <c r="F9" s="18" t="s">
        <v>218</v>
      </c>
      <c r="G9" s="20">
        <v>0</v>
      </c>
      <c r="H9" s="20">
        <v>0</v>
      </c>
      <c r="I9" s="20">
        <v>0</v>
      </c>
      <c r="J9" s="21" t="str">
        <f t="shared" si="0"/>
        <v/>
      </c>
      <c r="K9" s="20" t="str">
        <f t="shared" si="1"/>
        <v/>
      </c>
      <c r="L9" s="21" t="str">
        <f t="shared" si="2"/>
        <v/>
      </c>
      <c r="M9" s="20" t="str">
        <f t="shared" si="3"/>
        <v/>
      </c>
    </row>
    <row r="10" spans="1:13" ht="15" customHeight="1" x14ac:dyDescent="0.3">
      <c r="A10" s="14">
        <v>2026</v>
      </c>
      <c r="B10" s="18" t="s">
        <v>147</v>
      </c>
      <c r="C10" s="18" t="s">
        <v>139</v>
      </c>
      <c r="D10" s="18">
        <v>221</v>
      </c>
      <c r="E10" s="18" t="s">
        <v>214</v>
      </c>
      <c r="F10" s="18" t="s">
        <v>219</v>
      </c>
      <c r="G10" s="20">
        <v>0</v>
      </c>
      <c r="H10" s="20">
        <v>0</v>
      </c>
      <c r="I10" s="20">
        <v>0</v>
      </c>
      <c r="J10" s="21" t="str">
        <f t="shared" si="0"/>
        <v/>
      </c>
      <c r="K10" s="20" t="str">
        <f t="shared" si="1"/>
        <v/>
      </c>
      <c r="L10" s="21" t="str">
        <f t="shared" si="2"/>
        <v/>
      </c>
      <c r="M10" s="20" t="str">
        <f t="shared" si="3"/>
        <v/>
      </c>
    </row>
    <row r="11" spans="1:13" ht="15" customHeight="1" x14ac:dyDescent="0.3">
      <c r="A11" s="14">
        <v>2026</v>
      </c>
      <c r="B11" s="18" t="s">
        <v>147</v>
      </c>
      <c r="C11" s="18" t="s">
        <v>105</v>
      </c>
      <c r="D11" s="18">
        <v>59</v>
      </c>
      <c r="E11" s="18" t="s">
        <v>220</v>
      </c>
      <c r="F11" s="18">
        <v>0</v>
      </c>
      <c r="G11" s="20">
        <v>0</v>
      </c>
      <c r="H11" s="20">
        <v>0</v>
      </c>
      <c r="I11" s="20">
        <v>0</v>
      </c>
      <c r="J11" s="21" t="str">
        <f t="shared" si="0"/>
        <v/>
      </c>
      <c r="K11" s="20" t="str">
        <f t="shared" si="1"/>
        <v/>
      </c>
      <c r="L11" s="21" t="str">
        <f t="shared" si="2"/>
        <v/>
      </c>
      <c r="M11" s="20" t="str">
        <f t="shared" si="3"/>
        <v/>
      </c>
    </row>
    <row r="12" spans="1:13" ht="15" customHeight="1" x14ac:dyDescent="0.3">
      <c r="A12" s="14">
        <v>2026</v>
      </c>
      <c r="B12" s="18" t="s">
        <v>152</v>
      </c>
      <c r="C12" s="18" t="s">
        <v>139</v>
      </c>
      <c r="D12" s="18">
        <v>564</v>
      </c>
      <c r="E12" s="18" t="s">
        <v>221</v>
      </c>
      <c r="F12" s="18" t="s">
        <v>222</v>
      </c>
      <c r="G12" s="20">
        <v>0</v>
      </c>
      <c r="H12" s="20">
        <v>0</v>
      </c>
      <c r="I12" s="20">
        <v>0</v>
      </c>
      <c r="J12" s="21" t="str">
        <f t="shared" si="0"/>
        <v/>
      </c>
      <c r="K12" s="20" t="str">
        <f t="shared" si="1"/>
        <v/>
      </c>
      <c r="L12" s="21" t="str">
        <f t="shared" si="2"/>
        <v/>
      </c>
      <c r="M12" s="20" t="str">
        <f t="shared" si="3"/>
        <v/>
      </c>
    </row>
    <row r="13" spans="1:13" ht="15" customHeight="1" x14ac:dyDescent="0.3">
      <c r="A13" s="14">
        <v>2026</v>
      </c>
      <c r="B13" s="18" t="s">
        <v>152</v>
      </c>
      <c r="C13" s="18" t="s">
        <v>105</v>
      </c>
      <c r="D13" s="18">
        <v>73</v>
      </c>
      <c r="E13" s="18" t="s">
        <v>223</v>
      </c>
      <c r="F13" s="18">
        <v>504</v>
      </c>
      <c r="G13" s="20">
        <v>0</v>
      </c>
      <c r="H13" s="20">
        <v>0</v>
      </c>
      <c r="I13" s="20">
        <v>0</v>
      </c>
      <c r="J13" s="21" t="str">
        <f t="shared" si="0"/>
        <v/>
      </c>
      <c r="K13" s="20" t="str">
        <f t="shared" si="1"/>
        <v/>
      </c>
      <c r="L13" s="21" t="str">
        <f t="shared" si="2"/>
        <v/>
      </c>
      <c r="M13" s="20" t="str">
        <f t="shared" si="3"/>
        <v/>
      </c>
    </row>
    <row r="14" spans="1:13" ht="15" customHeight="1" x14ac:dyDescent="0.3">
      <c r="A14" s="14">
        <v>2026</v>
      </c>
      <c r="B14" s="18" t="s">
        <v>157</v>
      </c>
      <c r="C14" s="18" t="s">
        <v>139</v>
      </c>
      <c r="D14" s="18">
        <v>500</v>
      </c>
      <c r="E14" s="18" t="s">
        <v>224</v>
      </c>
      <c r="F14" s="18" t="s">
        <v>225</v>
      </c>
      <c r="G14" s="20">
        <v>0</v>
      </c>
      <c r="H14" s="20">
        <v>0</v>
      </c>
      <c r="I14" s="20">
        <v>0</v>
      </c>
      <c r="J14" s="21" t="str">
        <f t="shared" si="0"/>
        <v/>
      </c>
      <c r="K14" s="20" t="str">
        <f t="shared" si="1"/>
        <v/>
      </c>
      <c r="L14" s="21" t="str">
        <f t="shared" si="2"/>
        <v/>
      </c>
      <c r="M14" s="20" t="str">
        <f t="shared" si="3"/>
        <v/>
      </c>
    </row>
    <row r="15" spans="1:13" ht="15" customHeight="1" x14ac:dyDescent="0.3">
      <c r="A15" s="14">
        <v>2026</v>
      </c>
      <c r="B15" s="18" t="s">
        <v>157</v>
      </c>
      <c r="C15" s="18" t="s">
        <v>105</v>
      </c>
      <c r="D15" s="18">
        <v>90</v>
      </c>
      <c r="E15" s="18" t="s">
        <v>226</v>
      </c>
      <c r="F15" s="18" t="s">
        <v>227</v>
      </c>
      <c r="G15" s="20">
        <v>0</v>
      </c>
      <c r="H15" s="20">
        <v>0</v>
      </c>
      <c r="I15" s="20">
        <v>0</v>
      </c>
      <c r="J15" s="21" t="str">
        <f t="shared" si="0"/>
        <v/>
      </c>
      <c r="K15" s="20" t="str">
        <f t="shared" si="1"/>
        <v/>
      </c>
      <c r="L15" s="21" t="str">
        <f t="shared" si="2"/>
        <v/>
      </c>
      <c r="M15" s="20" t="str">
        <f t="shared" si="3"/>
        <v/>
      </c>
    </row>
    <row r="16" spans="1:13" ht="15" customHeight="1" x14ac:dyDescent="0.3">
      <c r="A16" s="14">
        <v>2026</v>
      </c>
      <c r="B16" s="18" t="s">
        <v>161</v>
      </c>
      <c r="C16" s="18" t="s">
        <v>139</v>
      </c>
      <c r="D16" s="18">
        <v>207</v>
      </c>
      <c r="E16" s="18" t="s">
        <v>228</v>
      </c>
      <c r="F16" s="18" t="s">
        <v>229</v>
      </c>
      <c r="G16" s="20">
        <v>0</v>
      </c>
      <c r="H16" s="20">
        <v>0</v>
      </c>
      <c r="I16" s="20">
        <v>0</v>
      </c>
      <c r="J16" s="21" t="str">
        <f t="shared" si="0"/>
        <v/>
      </c>
      <c r="K16" s="20" t="str">
        <f t="shared" si="1"/>
        <v/>
      </c>
      <c r="L16" s="21" t="str">
        <f t="shared" si="2"/>
        <v/>
      </c>
      <c r="M16" s="20" t="str">
        <f t="shared" si="3"/>
        <v/>
      </c>
    </row>
    <row r="17" spans="1:13" ht="15" customHeight="1" x14ac:dyDescent="0.3">
      <c r="A17" s="14">
        <v>2026</v>
      </c>
      <c r="B17" s="18" t="s">
        <v>161</v>
      </c>
      <c r="C17" s="18" t="s">
        <v>105</v>
      </c>
      <c r="D17" s="18">
        <v>55</v>
      </c>
      <c r="E17" s="18" t="s">
        <v>230</v>
      </c>
      <c r="F17" s="18">
        <v>24</v>
      </c>
      <c r="G17" s="20">
        <v>0</v>
      </c>
      <c r="H17" s="20">
        <v>0</v>
      </c>
      <c r="I17" s="20">
        <v>0</v>
      </c>
      <c r="J17" s="21">
        <f t="shared" si="0"/>
        <v>6.5395095367847412E-4</v>
      </c>
      <c r="K17" s="20" t="str">
        <f t="shared" si="1"/>
        <v>Red</v>
      </c>
      <c r="L17" s="21">
        <f t="shared" si="2"/>
        <v>0</v>
      </c>
      <c r="M17" s="20" t="str">
        <f t="shared" si="3"/>
        <v>Red</v>
      </c>
    </row>
    <row r="18" spans="1:13" ht="15" customHeight="1" x14ac:dyDescent="0.3">
      <c r="A18" s="14">
        <v>2026</v>
      </c>
      <c r="B18" s="18" t="s">
        <v>162</v>
      </c>
      <c r="C18" s="18" t="s">
        <v>139</v>
      </c>
      <c r="D18" s="18">
        <v>681</v>
      </c>
      <c r="E18" s="18" t="s">
        <v>231</v>
      </c>
      <c r="F18" s="18" t="s">
        <v>232</v>
      </c>
      <c r="G18" s="20">
        <v>0</v>
      </c>
      <c r="H18" s="20">
        <v>0</v>
      </c>
      <c r="I18" s="20">
        <v>0</v>
      </c>
      <c r="J18" s="21">
        <f t="shared" si="0"/>
        <v>2.8461538461538463E-3</v>
      </c>
      <c r="K18" s="20" t="str">
        <f t="shared" si="1"/>
        <v>Red</v>
      </c>
      <c r="L18" s="21">
        <f t="shared" si="2"/>
        <v>0</v>
      </c>
      <c r="M18" s="20" t="str">
        <f t="shared" si="3"/>
        <v>Red</v>
      </c>
    </row>
    <row r="19" spans="1:13" ht="15" customHeight="1" x14ac:dyDescent="0.3">
      <c r="A19" s="14">
        <v>2026</v>
      </c>
      <c r="B19" s="18" t="s">
        <v>162</v>
      </c>
      <c r="C19" s="18" t="s">
        <v>105</v>
      </c>
      <c r="D19" s="18">
        <v>238</v>
      </c>
      <c r="E19" s="18" t="s">
        <v>233</v>
      </c>
      <c r="F19" s="18">
        <v>314</v>
      </c>
      <c r="G19" s="20">
        <v>0</v>
      </c>
      <c r="H19" s="20">
        <v>0</v>
      </c>
      <c r="I19" s="20">
        <v>0</v>
      </c>
      <c r="J19" s="21" t="str">
        <f t="shared" si="0"/>
        <v/>
      </c>
      <c r="K19" s="20" t="str">
        <f t="shared" si="1"/>
        <v/>
      </c>
      <c r="L19" s="21" t="str">
        <f t="shared" si="2"/>
        <v/>
      </c>
      <c r="M19" s="20" t="str">
        <f t="shared" si="3"/>
        <v/>
      </c>
    </row>
    <row r="20" spans="1:13" ht="15" customHeight="1" x14ac:dyDescent="0.3">
      <c r="A20" s="14">
        <v>2026</v>
      </c>
      <c r="B20" s="18" t="s">
        <v>73</v>
      </c>
      <c r="C20" s="18" t="s">
        <v>139</v>
      </c>
      <c r="D20" s="18">
        <v>326</v>
      </c>
      <c r="E20" s="18" t="s">
        <v>228</v>
      </c>
      <c r="F20" s="18" t="s">
        <v>234</v>
      </c>
      <c r="G20" s="20">
        <v>0</v>
      </c>
      <c r="H20" s="20">
        <v>0</v>
      </c>
      <c r="I20" s="20">
        <v>0</v>
      </c>
      <c r="J20" s="21" t="str">
        <f t="shared" si="0"/>
        <v/>
      </c>
      <c r="K20" s="20" t="str">
        <f t="shared" si="1"/>
        <v/>
      </c>
      <c r="L20" s="21" t="str">
        <f t="shared" si="2"/>
        <v/>
      </c>
      <c r="M20" s="20" t="str">
        <f t="shared" si="3"/>
        <v/>
      </c>
    </row>
    <row r="21" spans="1:13" ht="15" customHeight="1" x14ac:dyDescent="0.3">
      <c r="A21" s="14">
        <v>2026</v>
      </c>
      <c r="B21" s="18" t="s">
        <v>73</v>
      </c>
      <c r="C21" s="18" t="s">
        <v>105</v>
      </c>
      <c r="D21" s="18">
        <v>529</v>
      </c>
      <c r="E21" s="18" t="s">
        <v>235</v>
      </c>
      <c r="F21" s="18">
        <v>572</v>
      </c>
      <c r="G21" s="20">
        <v>0</v>
      </c>
      <c r="H21" s="20">
        <v>0</v>
      </c>
      <c r="I21" s="20">
        <v>0</v>
      </c>
      <c r="J21" s="21">
        <f t="shared" si="0"/>
        <v>3.2667047401484864E-2</v>
      </c>
      <c r="K21" s="20" t="str">
        <f t="shared" si="1"/>
        <v>Yellow</v>
      </c>
      <c r="L21" s="21">
        <f t="shared" si="2"/>
        <v>0</v>
      </c>
      <c r="M21" s="20" t="str">
        <f t="shared" si="3"/>
        <v>Red</v>
      </c>
    </row>
    <row r="22" spans="1:13" ht="15" customHeight="1" x14ac:dyDescent="0.3">
      <c r="A22" s="14">
        <v>2026</v>
      </c>
      <c r="B22" s="18" t="s">
        <v>165</v>
      </c>
      <c r="C22" s="18" t="s">
        <v>139</v>
      </c>
      <c r="D22" s="18">
        <v>1200</v>
      </c>
      <c r="E22" s="18" t="s">
        <v>236</v>
      </c>
      <c r="F22" s="18" t="s">
        <v>237</v>
      </c>
      <c r="G22" s="20">
        <v>0</v>
      </c>
      <c r="H22" s="20">
        <v>0</v>
      </c>
      <c r="I22" s="20">
        <v>0</v>
      </c>
      <c r="J22" s="21" t="str">
        <f t="shared" si="0"/>
        <v/>
      </c>
      <c r="K22" s="20" t="str">
        <f t="shared" si="1"/>
        <v/>
      </c>
      <c r="L22" s="21" t="str">
        <f t="shared" si="2"/>
        <v/>
      </c>
      <c r="M22" s="20" t="str">
        <f t="shared" si="3"/>
        <v/>
      </c>
    </row>
    <row r="23" spans="1:13" ht="15" customHeight="1" x14ac:dyDescent="0.3">
      <c r="A23" s="14">
        <v>2026</v>
      </c>
      <c r="B23" s="18" t="s">
        <v>165</v>
      </c>
      <c r="C23" s="18" t="s">
        <v>105</v>
      </c>
      <c r="D23" s="18">
        <v>46</v>
      </c>
      <c r="E23" s="18" t="s">
        <v>238</v>
      </c>
      <c r="F23" s="18">
        <v>48</v>
      </c>
      <c r="G23" s="20">
        <v>0</v>
      </c>
      <c r="H23" s="20">
        <v>0</v>
      </c>
      <c r="I23" s="20">
        <v>0</v>
      </c>
      <c r="J23" s="21" t="str">
        <f t="shared" si="0"/>
        <v/>
      </c>
      <c r="K23" s="20" t="str">
        <f t="shared" si="1"/>
        <v/>
      </c>
      <c r="L23" s="21" t="str">
        <f t="shared" si="2"/>
        <v/>
      </c>
      <c r="M23" s="20" t="str">
        <f t="shared" si="3"/>
        <v/>
      </c>
    </row>
    <row r="24" spans="1:13" ht="15" customHeight="1" x14ac:dyDescent="0.3">
      <c r="A24" s="18"/>
      <c r="B24" s="18"/>
      <c r="C24" s="18"/>
      <c r="D24" s="18"/>
      <c r="E24" s="18"/>
      <c r="F24" s="18"/>
      <c r="G24" s="20"/>
      <c r="H24" s="20"/>
      <c r="I24" s="20" t="str">
        <f t="shared" ref="I24:I35" si="4">IF(AND(G24="",H24=""),"",N(G24)+N(H24))</f>
        <v/>
      </c>
      <c r="J24" s="21" t="str">
        <f t="shared" si="0"/>
        <v/>
      </c>
      <c r="K24" s="20" t="str">
        <f t="shared" si="1"/>
        <v/>
      </c>
      <c r="L24" s="21" t="str">
        <f t="shared" si="2"/>
        <v/>
      </c>
      <c r="M24" s="20" t="str">
        <f t="shared" si="3"/>
        <v/>
      </c>
    </row>
    <row r="25" spans="1:13" ht="15" customHeight="1" x14ac:dyDescent="0.3">
      <c r="A25" s="18"/>
      <c r="B25" s="18"/>
      <c r="C25" s="18"/>
      <c r="D25" s="18"/>
      <c r="E25" s="18"/>
      <c r="F25" s="18"/>
      <c r="G25" s="20"/>
      <c r="H25" s="20"/>
      <c r="I25" s="20" t="str">
        <f t="shared" si="4"/>
        <v/>
      </c>
      <c r="J25" s="21" t="str">
        <f t="shared" si="0"/>
        <v/>
      </c>
      <c r="K25" s="20" t="str">
        <f t="shared" si="1"/>
        <v/>
      </c>
      <c r="L25" s="21" t="str">
        <f t="shared" si="2"/>
        <v/>
      </c>
      <c r="M25" s="20" t="str">
        <f t="shared" si="3"/>
        <v/>
      </c>
    </row>
    <row r="26" spans="1:13" ht="15" customHeight="1" x14ac:dyDescent="0.3">
      <c r="A26" s="18"/>
      <c r="B26" s="18"/>
      <c r="C26" s="18"/>
      <c r="D26" s="18"/>
      <c r="E26" s="18"/>
      <c r="F26" s="18"/>
      <c r="G26" s="20"/>
      <c r="H26" s="20"/>
      <c r="I26" s="20" t="str">
        <f t="shared" si="4"/>
        <v/>
      </c>
      <c r="J26" s="21" t="str">
        <f t="shared" si="0"/>
        <v/>
      </c>
      <c r="K26" s="20" t="str">
        <f t="shared" si="1"/>
        <v/>
      </c>
      <c r="L26" s="21" t="str">
        <f t="shared" si="2"/>
        <v/>
      </c>
      <c r="M26" s="20" t="str">
        <f t="shared" si="3"/>
        <v/>
      </c>
    </row>
    <row r="27" spans="1:13" ht="15" customHeight="1" x14ac:dyDescent="0.3">
      <c r="A27" s="18"/>
      <c r="B27" s="18"/>
      <c r="C27" s="18"/>
      <c r="D27" s="18"/>
      <c r="E27" s="18"/>
      <c r="F27" s="18"/>
      <c r="G27" s="20"/>
      <c r="H27" s="20"/>
      <c r="I27" s="20" t="str">
        <f t="shared" si="4"/>
        <v/>
      </c>
      <c r="J27" s="21" t="str">
        <f t="shared" si="0"/>
        <v/>
      </c>
      <c r="K27" s="20" t="str">
        <f t="shared" si="1"/>
        <v/>
      </c>
      <c r="L27" s="21" t="str">
        <f t="shared" si="2"/>
        <v/>
      </c>
      <c r="M27" s="20" t="str">
        <f t="shared" si="3"/>
        <v/>
      </c>
    </row>
    <row r="28" spans="1:13" ht="15" customHeight="1" x14ac:dyDescent="0.3">
      <c r="A28" s="18"/>
      <c r="B28" s="18"/>
      <c r="C28" s="18"/>
      <c r="D28" s="18"/>
      <c r="E28" s="18"/>
      <c r="F28" s="18"/>
      <c r="G28" s="20"/>
      <c r="H28" s="20"/>
      <c r="I28" s="20" t="str">
        <f t="shared" si="4"/>
        <v/>
      </c>
      <c r="J28" s="21" t="str">
        <f t="shared" si="0"/>
        <v/>
      </c>
      <c r="K28" s="20" t="str">
        <f t="shared" si="1"/>
        <v/>
      </c>
      <c r="L28" s="21" t="str">
        <f t="shared" si="2"/>
        <v/>
      </c>
      <c r="M28" s="20" t="str">
        <f t="shared" si="3"/>
        <v/>
      </c>
    </row>
    <row r="29" spans="1:13" ht="15" customHeight="1" x14ac:dyDescent="0.3">
      <c r="A29" s="18"/>
      <c r="B29" s="18"/>
      <c r="C29" s="18"/>
      <c r="D29" s="18"/>
      <c r="E29" s="18"/>
      <c r="F29" s="18"/>
      <c r="G29" s="20"/>
      <c r="H29" s="20"/>
      <c r="I29" s="20" t="str">
        <f t="shared" si="4"/>
        <v/>
      </c>
      <c r="J29" s="21" t="str">
        <f t="shared" si="0"/>
        <v/>
      </c>
      <c r="K29" s="20" t="str">
        <f t="shared" si="1"/>
        <v/>
      </c>
      <c r="L29" s="21" t="str">
        <f t="shared" si="2"/>
        <v/>
      </c>
      <c r="M29" s="20" t="str">
        <f t="shared" si="3"/>
        <v/>
      </c>
    </row>
    <row r="30" spans="1:13" ht="15" customHeight="1" x14ac:dyDescent="0.3">
      <c r="A30" s="18"/>
      <c r="B30" s="18"/>
      <c r="C30" s="18"/>
      <c r="D30" s="18"/>
      <c r="E30" s="18"/>
      <c r="F30" s="18"/>
      <c r="G30" s="20"/>
      <c r="H30" s="20"/>
      <c r="I30" s="20" t="str">
        <f t="shared" si="4"/>
        <v/>
      </c>
      <c r="J30" s="21" t="str">
        <f t="shared" si="0"/>
        <v/>
      </c>
      <c r="K30" s="20" t="str">
        <f t="shared" si="1"/>
        <v/>
      </c>
      <c r="L30" s="21" t="str">
        <f t="shared" si="2"/>
        <v/>
      </c>
      <c r="M30" s="20" t="str">
        <f t="shared" si="3"/>
        <v/>
      </c>
    </row>
    <row r="31" spans="1:13" ht="15" customHeight="1" x14ac:dyDescent="0.3">
      <c r="A31" s="18"/>
      <c r="B31" s="18"/>
      <c r="C31" s="18"/>
      <c r="D31" s="18"/>
      <c r="E31" s="18"/>
      <c r="F31" s="18"/>
      <c r="G31" s="20"/>
      <c r="H31" s="20"/>
      <c r="I31" s="20" t="str">
        <f t="shared" si="4"/>
        <v/>
      </c>
      <c r="J31" s="21" t="str">
        <f t="shared" si="0"/>
        <v/>
      </c>
      <c r="K31" s="20" t="str">
        <f t="shared" si="1"/>
        <v/>
      </c>
      <c r="L31" s="21" t="str">
        <f t="shared" si="2"/>
        <v/>
      </c>
      <c r="M31" s="20" t="str">
        <f t="shared" si="3"/>
        <v/>
      </c>
    </row>
    <row r="32" spans="1:13" ht="15" customHeight="1" x14ac:dyDescent="0.3">
      <c r="A32" s="18"/>
      <c r="B32" s="18"/>
      <c r="C32" s="18"/>
      <c r="D32" s="18"/>
      <c r="E32" s="18"/>
      <c r="F32" s="18"/>
      <c r="G32" s="20"/>
      <c r="H32" s="20"/>
      <c r="I32" s="20" t="str">
        <f t="shared" si="4"/>
        <v/>
      </c>
      <c r="J32" s="21" t="str">
        <f t="shared" si="0"/>
        <v/>
      </c>
      <c r="K32" s="20" t="str">
        <f t="shared" si="1"/>
        <v/>
      </c>
      <c r="L32" s="21" t="str">
        <f t="shared" si="2"/>
        <v/>
      </c>
      <c r="M32" s="20" t="str">
        <f t="shared" si="3"/>
        <v/>
      </c>
    </row>
    <row r="33" spans="1:13" ht="15" customHeight="1" x14ac:dyDescent="0.3">
      <c r="A33" s="18"/>
      <c r="B33" s="18"/>
      <c r="C33" s="18"/>
      <c r="D33" s="18"/>
      <c r="E33" s="18"/>
      <c r="F33" s="18"/>
      <c r="G33" s="20"/>
      <c r="H33" s="20"/>
      <c r="I33" s="20" t="str">
        <f t="shared" si="4"/>
        <v/>
      </c>
      <c r="J33" s="21" t="str">
        <f t="shared" si="0"/>
        <v/>
      </c>
      <c r="K33" s="20" t="str">
        <f t="shared" si="1"/>
        <v/>
      </c>
      <c r="L33" s="21" t="str">
        <f t="shared" si="2"/>
        <v/>
      </c>
      <c r="M33" s="20" t="str">
        <f t="shared" si="3"/>
        <v/>
      </c>
    </row>
    <row r="34" spans="1:13" ht="15" customHeight="1" x14ac:dyDescent="0.3">
      <c r="A34" s="18"/>
      <c r="B34" s="18"/>
      <c r="C34" s="18"/>
      <c r="D34" s="18"/>
      <c r="E34" s="18"/>
      <c r="F34" s="18"/>
      <c r="G34" s="20"/>
      <c r="H34" s="20"/>
      <c r="I34" s="20" t="str">
        <f t="shared" si="4"/>
        <v/>
      </c>
      <c r="J34" s="21" t="str">
        <f t="shared" si="0"/>
        <v/>
      </c>
      <c r="K34" s="20" t="str">
        <f t="shared" si="1"/>
        <v/>
      </c>
      <c r="L34" s="21" t="str">
        <f t="shared" si="2"/>
        <v/>
      </c>
      <c r="M34" s="20" t="str">
        <f t="shared" si="3"/>
        <v/>
      </c>
    </row>
    <row r="35" spans="1:13" ht="15" customHeight="1" x14ac:dyDescent="0.3">
      <c r="A35" s="18"/>
      <c r="B35" s="18"/>
      <c r="C35" s="18"/>
      <c r="D35" s="18"/>
      <c r="E35" s="18"/>
      <c r="F35" s="18"/>
      <c r="G35" s="20"/>
      <c r="H35" s="20"/>
      <c r="I35" s="20" t="str">
        <f t="shared" si="4"/>
        <v/>
      </c>
      <c r="J35" s="21" t="str">
        <f t="shared" si="0"/>
        <v/>
      </c>
      <c r="K35" s="20" t="str">
        <f t="shared" si="1"/>
        <v/>
      </c>
      <c r="L35" s="21" t="str">
        <f t="shared" si="2"/>
        <v/>
      </c>
      <c r="M35" s="20" t="str">
        <f t="shared" si="3"/>
        <v/>
      </c>
    </row>
    <row r="38" spans="1:13" ht="21.75" customHeight="1" x14ac:dyDescent="0.3">
      <c r="A38" s="33" t="s">
        <v>106</v>
      </c>
      <c r="B38" s="33"/>
      <c r="C38" s="33"/>
      <c r="D38" s="33"/>
      <c r="E38" s="33"/>
      <c r="F38" s="33"/>
      <c r="G38" s="33"/>
      <c r="H38" s="33"/>
      <c r="I38" s="33"/>
    </row>
    <row r="39" spans="1:13" ht="31.5" customHeight="1" x14ac:dyDescent="0.3">
      <c r="A39" s="11" t="s">
        <v>54</v>
      </c>
      <c r="B39" s="11" t="s">
        <v>55</v>
      </c>
      <c r="C39" s="11" t="s">
        <v>107</v>
      </c>
      <c r="D39" s="11" t="s">
        <v>108</v>
      </c>
      <c r="E39" s="11" t="s">
        <v>109</v>
      </c>
      <c r="F39" s="11" t="s">
        <v>110</v>
      </c>
      <c r="G39" s="11" t="s">
        <v>111</v>
      </c>
      <c r="H39" s="11" t="s">
        <v>112</v>
      </c>
      <c r="I39" s="11" t="s">
        <v>113</v>
      </c>
    </row>
    <row r="40" spans="1:13" ht="15" customHeight="1" x14ac:dyDescent="0.3">
      <c r="A40" s="14">
        <v>2026</v>
      </c>
      <c r="B40" s="14" t="s">
        <v>73</v>
      </c>
      <c r="C40" s="14">
        <v>18</v>
      </c>
      <c r="D40" s="14">
        <v>18</v>
      </c>
      <c r="E40" s="14">
        <v>1</v>
      </c>
      <c r="F40" s="14">
        <v>7000</v>
      </c>
      <c r="G40" s="16">
        <v>0.01</v>
      </c>
      <c r="H40" s="25">
        <v>7000</v>
      </c>
      <c r="I40" s="14" t="str">
        <f t="shared" ref="I40:I63" si="5">IFERROR(IF(ISNUMBER(H40),IF(H40&gt;3,"Green",IF(H40&gt;=1,"Yellow","Red")),""),"")</f>
        <v>Green</v>
      </c>
    </row>
    <row r="41" spans="1:13" ht="15" customHeight="1" x14ac:dyDescent="0.3">
      <c r="A41" s="18"/>
      <c r="B41" s="18"/>
      <c r="C41" s="18"/>
      <c r="D41" s="18"/>
      <c r="E41" s="18"/>
      <c r="F41" s="18"/>
      <c r="G41" s="21" t="str">
        <f t="shared" ref="G41:G63" si="6">IFERROR(C41/D41,"")</f>
        <v/>
      </c>
      <c r="H41" s="26" t="str">
        <f t="shared" ref="H41:H63" si="7">IFERROR(F41/E41,"")</f>
        <v/>
      </c>
      <c r="I41" s="20" t="str">
        <f t="shared" si="5"/>
        <v/>
      </c>
    </row>
    <row r="42" spans="1:13" ht="15" customHeight="1" x14ac:dyDescent="0.3">
      <c r="A42" s="18"/>
      <c r="B42" s="18"/>
      <c r="C42" s="18"/>
      <c r="D42" s="18"/>
      <c r="E42" s="18"/>
      <c r="F42" s="18"/>
      <c r="G42" s="21" t="str">
        <f t="shared" si="6"/>
        <v/>
      </c>
      <c r="H42" s="26" t="str">
        <f t="shared" si="7"/>
        <v/>
      </c>
      <c r="I42" s="20" t="str">
        <f t="shared" si="5"/>
        <v/>
      </c>
    </row>
    <row r="43" spans="1:13" ht="15" customHeight="1" x14ac:dyDescent="0.3">
      <c r="A43" s="18"/>
      <c r="B43" s="18"/>
      <c r="C43" s="18"/>
      <c r="D43" s="18"/>
      <c r="E43" s="18"/>
      <c r="F43" s="18"/>
      <c r="G43" s="21" t="str">
        <f t="shared" si="6"/>
        <v/>
      </c>
      <c r="H43" s="26" t="str">
        <f t="shared" si="7"/>
        <v/>
      </c>
      <c r="I43" s="20" t="str">
        <f t="shared" si="5"/>
        <v/>
      </c>
    </row>
    <row r="44" spans="1:13" ht="15" customHeight="1" x14ac:dyDescent="0.3">
      <c r="A44" s="18"/>
      <c r="B44" s="18"/>
      <c r="C44" s="18"/>
      <c r="D44" s="18"/>
      <c r="E44" s="18"/>
      <c r="F44" s="18"/>
      <c r="G44" s="21" t="str">
        <f t="shared" si="6"/>
        <v/>
      </c>
      <c r="H44" s="26" t="str">
        <f t="shared" si="7"/>
        <v/>
      </c>
      <c r="I44" s="20" t="str">
        <f t="shared" si="5"/>
        <v/>
      </c>
    </row>
    <row r="45" spans="1:13" ht="15" customHeight="1" x14ac:dyDescent="0.3">
      <c r="A45" s="18"/>
      <c r="B45" s="18"/>
      <c r="C45" s="18"/>
      <c r="D45" s="18"/>
      <c r="E45" s="18"/>
      <c r="F45" s="18"/>
      <c r="G45" s="21" t="str">
        <f t="shared" si="6"/>
        <v/>
      </c>
      <c r="H45" s="26" t="str">
        <f t="shared" si="7"/>
        <v/>
      </c>
      <c r="I45" s="20" t="str">
        <f t="shared" si="5"/>
        <v/>
      </c>
    </row>
    <row r="46" spans="1:13" ht="15" customHeight="1" x14ac:dyDescent="0.3">
      <c r="A46" s="18"/>
      <c r="B46" s="18"/>
      <c r="C46" s="18"/>
      <c r="D46" s="18"/>
      <c r="E46" s="18"/>
      <c r="F46" s="18"/>
      <c r="G46" s="21" t="str">
        <f t="shared" si="6"/>
        <v/>
      </c>
      <c r="H46" s="26" t="str">
        <f t="shared" si="7"/>
        <v/>
      </c>
      <c r="I46" s="20" t="str">
        <f t="shared" si="5"/>
        <v/>
      </c>
    </row>
    <row r="47" spans="1:13" ht="15" customHeight="1" x14ac:dyDescent="0.3">
      <c r="A47" s="18"/>
      <c r="B47" s="18"/>
      <c r="C47" s="18"/>
      <c r="D47" s="18"/>
      <c r="E47" s="18"/>
      <c r="F47" s="18"/>
      <c r="G47" s="21" t="str">
        <f t="shared" si="6"/>
        <v/>
      </c>
      <c r="H47" s="26" t="str">
        <f t="shared" si="7"/>
        <v/>
      </c>
      <c r="I47" s="20" t="str">
        <f t="shared" si="5"/>
        <v/>
      </c>
    </row>
    <row r="48" spans="1:13" ht="15" customHeight="1" x14ac:dyDescent="0.3">
      <c r="A48" s="18"/>
      <c r="B48" s="18"/>
      <c r="C48" s="18"/>
      <c r="D48" s="18"/>
      <c r="E48" s="18"/>
      <c r="F48" s="18"/>
      <c r="G48" s="21" t="str">
        <f t="shared" si="6"/>
        <v/>
      </c>
      <c r="H48" s="26" t="str">
        <f t="shared" si="7"/>
        <v/>
      </c>
      <c r="I48" s="20" t="str">
        <f t="shared" si="5"/>
        <v/>
      </c>
    </row>
    <row r="49" spans="1:9" ht="15" customHeight="1" x14ac:dyDescent="0.3">
      <c r="A49" s="18"/>
      <c r="B49" s="18"/>
      <c r="C49" s="18"/>
      <c r="D49" s="18"/>
      <c r="E49" s="18"/>
      <c r="F49" s="18"/>
      <c r="G49" s="21" t="str">
        <f t="shared" si="6"/>
        <v/>
      </c>
      <c r="H49" s="26" t="str">
        <f t="shared" si="7"/>
        <v/>
      </c>
      <c r="I49" s="20" t="str">
        <f t="shared" si="5"/>
        <v/>
      </c>
    </row>
    <row r="50" spans="1:9" ht="15" customHeight="1" x14ac:dyDescent="0.3">
      <c r="A50" s="18"/>
      <c r="B50" s="18"/>
      <c r="C50" s="18"/>
      <c r="D50" s="18"/>
      <c r="E50" s="18"/>
      <c r="F50" s="18"/>
      <c r="G50" s="21" t="str">
        <f t="shared" si="6"/>
        <v/>
      </c>
      <c r="H50" s="26" t="str">
        <f t="shared" si="7"/>
        <v/>
      </c>
      <c r="I50" s="20" t="str">
        <f t="shared" si="5"/>
        <v/>
      </c>
    </row>
    <row r="51" spans="1:9" ht="15" customHeight="1" x14ac:dyDescent="0.3">
      <c r="A51" s="18"/>
      <c r="B51" s="18"/>
      <c r="C51" s="18"/>
      <c r="D51" s="18"/>
      <c r="E51" s="18"/>
      <c r="F51" s="18"/>
      <c r="G51" s="21" t="str">
        <f t="shared" si="6"/>
        <v/>
      </c>
      <c r="H51" s="26" t="str">
        <f t="shared" si="7"/>
        <v/>
      </c>
      <c r="I51" s="20" t="str">
        <f t="shared" si="5"/>
        <v/>
      </c>
    </row>
    <row r="52" spans="1:9" ht="15" customHeight="1" x14ac:dyDescent="0.3">
      <c r="A52" s="18"/>
      <c r="B52" s="18"/>
      <c r="C52" s="18"/>
      <c r="D52" s="18"/>
      <c r="E52" s="18"/>
      <c r="F52" s="18"/>
      <c r="G52" s="21" t="str">
        <f t="shared" si="6"/>
        <v/>
      </c>
      <c r="H52" s="26" t="str">
        <f t="shared" si="7"/>
        <v/>
      </c>
      <c r="I52" s="20" t="str">
        <f t="shared" si="5"/>
        <v/>
      </c>
    </row>
    <row r="53" spans="1:9" ht="15" customHeight="1" x14ac:dyDescent="0.3">
      <c r="A53" s="18"/>
      <c r="B53" s="18"/>
      <c r="C53" s="18"/>
      <c r="D53" s="18"/>
      <c r="E53" s="18"/>
      <c r="F53" s="18"/>
      <c r="G53" s="21" t="str">
        <f t="shared" si="6"/>
        <v/>
      </c>
      <c r="H53" s="26" t="str">
        <f t="shared" si="7"/>
        <v/>
      </c>
      <c r="I53" s="20" t="str">
        <f t="shared" si="5"/>
        <v/>
      </c>
    </row>
    <row r="54" spans="1:9" ht="15" customHeight="1" x14ac:dyDescent="0.3">
      <c r="A54" s="18"/>
      <c r="B54" s="18"/>
      <c r="C54" s="18"/>
      <c r="D54" s="18"/>
      <c r="E54" s="18"/>
      <c r="F54" s="18"/>
      <c r="G54" s="21" t="str">
        <f t="shared" si="6"/>
        <v/>
      </c>
      <c r="H54" s="26" t="str">
        <f t="shared" si="7"/>
        <v/>
      </c>
      <c r="I54" s="20" t="str">
        <f t="shared" si="5"/>
        <v/>
      </c>
    </row>
    <row r="55" spans="1:9" ht="15" customHeight="1" x14ac:dyDescent="0.3">
      <c r="A55" s="18"/>
      <c r="B55" s="18"/>
      <c r="C55" s="18"/>
      <c r="D55" s="18"/>
      <c r="E55" s="18"/>
      <c r="F55" s="18"/>
      <c r="G55" s="21" t="str">
        <f t="shared" si="6"/>
        <v/>
      </c>
      <c r="H55" s="26" t="str">
        <f t="shared" si="7"/>
        <v/>
      </c>
      <c r="I55" s="20" t="str">
        <f t="shared" si="5"/>
        <v/>
      </c>
    </row>
    <row r="56" spans="1:9" ht="15" customHeight="1" x14ac:dyDescent="0.3">
      <c r="A56" s="18"/>
      <c r="B56" s="18"/>
      <c r="C56" s="18"/>
      <c r="D56" s="18"/>
      <c r="E56" s="18"/>
      <c r="F56" s="18"/>
      <c r="G56" s="21" t="str">
        <f t="shared" si="6"/>
        <v/>
      </c>
      <c r="H56" s="26" t="str">
        <f t="shared" si="7"/>
        <v/>
      </c>
      <c r="I56" s="20" t="str">
        <f t="shared" si="5"/>
        <v/>
      </c>
    </row>
    <row r="57" spans="1:9" ht="15" customHeight="1" x14ac:dyDescent="0.3">
      <c r="A57" s="18"/>
      <c r="B57" s="18"/>
      <c r="C57" s="18"/>
      <c r="D57" s="18"/>
      <c r="E57" s="18"/>
      <c r="F57" s="18"/>
      <c r="G57" s="21" t="str">
        <f t="shared" si="6"/>
        <v/>
      </c>
      <c r="H57" s="26" t="str">
        <f t="shared" si="7"/>
        <v/>
      </c>
      <c r="I57" s="20" t="str">
        <f t="shared" si="5"/>
        <v/>
      </c>
    </row>
    <row r="58" spans="1:9" ht="15" customHeight="1" x14ac:dyDescent="0.3">
      <c r="A58" s="18"/>
      <c r="B58" s="18"/>
      <c r="C58" s="18"/>
      <c r="D58" s="18"/>
      <c r="E58" s="18"/>
      <c r="F58" s="18"/>
      <c r="G58" s="21" t="str">
        <f t="shared" si="6"/>
        <v/>
      </c>
      <c r="H58" s="26" t="str">
        <f t="shared" si="7"/>
        <v/>
      </c>
      <c r="I58" s="20" t="str">
        <f t="shared" si="5"/>
        <v/>
      </c>
    </row>
    <row r="59" spans="1:9" ht="15" customHeight="1" x14ac:dyDescent="0.3">
      <c r="A59" s="18"/>
      <c r="B59" s="18"/>
      <c r="C59" s="18"/>
      <c r="D59" s="18"/>
      <c r="E59" s="18"/>
      <c r="F59" s="18"/>
      <c r="G59" s="21" t="str">
        <f t="shared" si="6"/>
        <v/>
      </c>
      <c r="H59" s="26" t="str">
        <f t="shared" si="7"/>
        <v/>
      </c>
      <c r="I59" s="20" t="str">
        <f t="shared" si="5"/>
        <v/>
      </c>
    </row>
    <row r="60" spans="1:9" ht="15" customHeight="1" x14ac:dyDescent="0.3">
      <c r="A60" s="18"/>
      <c r="B60" s="18"/>
      <c r="C60" s="18"/>
      <c r="D60" s="18"/>
      <c r="E60" s="18"/>
      <c r="F60" s="18"/>
      <c r="G60" s="21" t="str">
        <f t="shared" si="6"/>
        <v/>
      </c>
      <c r="H60" s="26" t="str">
        <f t="shared" si="7"/>
        <v/>
      </c>
      <c r="I60" s="20" t="str">
        <f t="shared" si="5"/>
        <v/>
      </c>
    </row>
    <row r="61" spans="1:9" ht="15" customHeight="1" x14ac:dyDescent="0.3">
      <c r="A61" s="18"/>
      <c r="B61" s="18"/>
      <c r="C61" s="18"/>
      <c r="D61" s="18"/>
      <c r="E61" s="18"/>
      <c r="F61" s="18"/>
      <c r="G61" s="21" t="str">
        <f t="shared" si="6"/>
        <v/>
      </c>
      <c r="H61" s="26" t="str">
        <f t="shared" si="7"/>
        <v/>
      </c>
      <c r="I61" s="20" t="str">
        <f t="shared" si="5"/>
        <v/>
      </c>
    </row>
    <row r="62" spans="1:9" ht="15" customHeight="1" x14ac:dyDescent="0.3">
      <c r="A62" s="18"/>
      <c r="B62" s="18"/>
      <c r="C62" s="18"/>
      <c r="D62" s="18"/>
      <c r="E62" s="18"/>
      <c r="F62" s="18"/>
      <c r="G62" s="21" t="str">
        <f t="shared" si="6"/>
        <v/>
      </c>
      <c r="H62" s="26" t="str">
        <f t="shared" si="7"/>
        <v/>
      </c>
      <c r="I62" s="20" t="str">
        <f t="shared" si="5"/>
        <v/>
      </c>
    </row>
    <row r="63" spans="1:9" ht="15" customHeight="1" x14ac:dyDescent="0.3">
      <c r="A63" s="18"/>
      <c r="B63" s="18"/>
      <c r="C63" s="18"/>
      <c r="D63" s="18"/>
      <c r="E63" s="18"/>
      <c r="F63" s="18"/>
      <c r="G63" s="21" t="str">
        <f t="shared" si="6"/>
        <v/>
      </c>
      <c r="H63" s="26" t="str">
        <f t="shared" si="7"/>
        <v/>
      </c>
      <c r="I63" s="20" t="str">
        <f t="shared" si="5"/>
        <v/>
      </c>
    </row>
  </sheetData>
  <mergeCells count="5">
    <mergeCell ref="A1:M1"/>
    <mergeCell ref="A2:M2"/>
    <mergeCell ref="A3:M3"/>
    <mergeCell ref="A4:M4"/>
    <mergeCell ref="A38:I38"/>
  </mergeCells>
  <conditionalFormatting sqref="I40:I63">
    <cfRule type="cellIs" dxfId="20" priority="8" operator="equal">
      <formula>"Green"</formula>
    </cfRule>
    <cfRule type="cellIs" dxfId="19" priority="9" operator="equal">
      <formula>"Yellow"</formula>
    </cfRule>
    <cfRule type="cellIs" dxfId="18" priority="10" operator="equal">
      <formula>"Red"</formula>
    </cfRule>
  </conditionalFormatting>
  <conditionalFormatting sqref="K6:K35">
    <cfRule type="cellIs" dxfId="17" priority="2" operator="equal">
      <formula>"Green"</formula>
    </cfRule>
    <cfRule type="cellIs" dxfId="16" priority="3" operator="equal">
      <formula>"Yellow"</formula>
    </cfRule>
    <cfRule type="cellIs" dxfId="15" priority="4" operator="equal">
      <formula>"Red"</formula>
    </cfRule>
  </conditionalFormatting>
  <conditionalFormatting sqref="M6:M35">
    <cfRule type="cellIs" dxfId="14" priority="5" operator="equal">
      <formula>"Green"</formula>
    </cfRule>
    <cfRule type="cellIs" dxfId="13" priority="6" operator="equal">
      <formula>"Yellow"</formula>
    </cfRule>
    <cfRule type="cellIs" dxfId="12" priority="7" operator="equal">
      <formula>"Red"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entry" error="Please choose a value from the dropdown list." xr:uid="{00000000-0002-0000-0300-000000000000}">
          <x14:formula1>
            <xm:f>Lists!$B$2:$B$13</xm:f>
          </x14:formula1>
          <x14:formula2>
            <xm:f>0</xm:f>
          </x14:formula2>
          <xm:sqref>B6:B35 B40:B63</xm:sqref>
        </x14:dataValidation>
        <x14:dataValidation type="list" allowBlank="1" errorTitle="Invalid entry" error="Please choose a value from the dropdown list." xr:uid="{00000000-0002-0000-0300-000001000000}">
          <x14:formula1>
            <xm:f>Lists!$C$2:$C$6</xm:f>
          </x14:formula1>
          <x14:formula2>
            <xm:f>0</xm:f>
          </x14:formula2>
          <xm:sqref>C6:C35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3"/>
  <sheetViews>
    <sheetView showGridLines="0"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7" sqref="B7"/>
    </sheetView>
  </sheetViews>
  <sheetFormatPr defaultColWidth="8.6640625" defaultRowHeight="14.4" x14ac:dyDescent="0.3"/>
  <cols>
    <col min="1" max="1" width="12.109375" style="1" customWidth="1"/>
    <col min="2" max="2" width="11" style="1" customWidth="1"/>
    <col min="3" max="3" width="24.5546875" style="1" customWidth="1"/>
    <col min="4" max="4" width="13" style="1" customWidth="1"/>
    <col min="5" max="5" width="15" style="1" customWidth="1"/>
    <col min="6" max="6" width="13" style="1" customWidth="1"/>
    <col min="7" max="7" width="16" style="1" customWidth="1"/>
    <col min="8" max="8" width="13" style="1" customWidth="1"/>
    <col min="9" max="9" width="12" style="1" customWidth="1"/>
    <col min="10" max="10" width="13" style="1" customWidth="1"/>
    <col min="11" max="11" width="12" style="1" customWidth="1"/>
    <col min="12" max="12" width="11" style="1" customWidth="1"/>
  </cols>
  <sheetData>
    <row r="1" spans="1:12" ht="25.5" customHeight="1" x14ac:dyDescent="0.3">
      <c r="A1" s="31" t="s">
        <v>114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5.75" customHeight="1" x14ac:dyDescent="0.3">
      <c r="A2" s="32" t="s">
        <v>115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15" customHeight="1" x14ac:dyDescent="0.3">
      <c r="A3" s="32" t="s">
        <v>53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ht="21.75" customHeight="1" x14ac:dyDescent="0.3">
      <c r="A4" s="33" t="s">
        <v>116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31.5" customHeight="1" x14ac:dyDescent="0.3">
      <c r="A5" s="11" t="s">
        <v>54</v>
      </c>
      <c r="B5" s="11" t="s">
        <v>55</v>
      </c>
      <c r="C5" s="11" t="s">
        <v>117</v>
      </c>
      <c r="D5" s="11" t="s">
        <v>118</v>
      </c>
      <c r="E5" s="11" t="s">
        <v>119</v>
      </c>
      <c r="F5" s="11" t="s">
        <v>120</v>
      </c>
      <c r="G5" s="11" t="s">
        <v>121</v>
      </c>
      <c r="H5" s="11" t="s">
        <v>122</v>
      </c>
      <c r="I5" s="11" t="s">
        <v>123</v>
      </c>
      <c r="J5" s="11" t="s">
        <v>124</v>
      </c>
      <c r="K5" s="11" t="s">
        <v>125</v>
      </c>
      <c r="L5" s="11" t="s">
        <v>126</v>
      </c>
    </row>
    <row r="6" spans="1:12" ht="15" customHeight="1" x14ac:dyDescent="0.3">
      <c r="A6" s="14">
        <v>2026</v>
      </c>
      <c r="B6" s="14" t="s">
        <v>73</v>
      </c>
      <c r="C6" s="16">
        <v>0.78</v>
      </c>
      <c r="D6" s="14" t="str">
        <f t="shared" ref="D6:D29" si="0">IFERROR(IF(ISNUMBER(C6),IF(C6&gt;0.9,"Green",IF(C6&gt;=0.8,"Yellow","Red")),""),"")</f>
        <v>Red</v>
      </c>
      <c r="E6" s="16">
        <v>0.8</v>
      </c>
      <c r="F6" s="14" t="str">
        <f t="shared" ref="F6:F29" si="1">IFERROR(IF(ISNUMBER(E6),IF(E6&gt;0.9,"Green",IF(E6&gt;=0.8,"Yellow","Red")),""),"")</f>
        <v>Yellow</v>
      </c>
      <c r="G6" s="16">
        <v>0.5</v>
      </c>
      <c r="H6" s="14" t="str">
        <f t="shared" ref="H6:H29" si="2">IFERROR(IF(ISNUMBER(G6),IF(G6&gt;0.9,"Green",IF(G6&gt;=0.8,"Yellow","Red")),""),"")</f>
        <v>Red</v>
      </c>
      <c r="I6" s="14">
        <v>460</v>
      </c>
      <c r="J6" s="14">
        <v>500</v>
      </c>
      <c r="K6" s="16">
        <f t="shared" ref="K6:K29" si="3">IFERROR(I6/J6,"")</f>
        <v>0.92</v>
      </c>
      <c r="L6" s="14" t="str">
        <f t="shared" ref="L6:L29" si="4">IFERROR(IF(ISNUMBER(K6),IF(K6&gt;0.9,"Green",IF(K6&gt;=0.8,"Yellow","Red")),""),"")</f>
        <v>Green</v>
      </c>
    </row>
    <row r="7" spans="1:12" ht="15" customHeight="1" x14ac:dyDescent="0.3">
      <c r="A7" s="18">
        <v>2026</v>
      </c>
      <c r="B7" s="18" t="s">
        <v>165</v>
      </c>
      <c r="C7" s="27">
        <v>0.8</v>
      </c>
      <c r="D7" s="20" t="str">
        <f t="shared" si="0"/>
        <v>Yellow</v>
      </c>
      <c r="E7" s="27">
        <v>0.4</v>
      </c>
      <c r="F7" s="20" t="str">
        <f t="shared" si="1"/>
        <v>Red</v>
      </c>
      <c r="G7" s="27">
        <v>0.4</v>
      </c>
      <c r="H7" s="20" t="str">
        <f t="shared" si="2"/>
        <v>Red</v>
      </c>
      <c r="I7" s="18">
        <v>460</v>
      </c>
      <c r="J7" s="18">
        <v>500</v>
      </c>
      <c r="K7" s="21">
        <f t="shared" si="3"/>
        <v>0.92</v>
      </c>
      <c r="L7" s="20" t="str">
        <f t="shared" si="4"/>
        <v>Green</v>
      </c>
    </row>
    <row r="8" spans="1:12" ht="15" customHeight="1" x14ac:dyDescent="0.3">
      <c r="A8" s="18"/>
      <c r="B8" s="18"/>
      <c r="C8" s="27"/>
      <c r="D8" s="20" t="str">
        <f t="shared" si="0"/>
        <v/>
      </c>
      <c r="E8" s="27"/>
      <c r="F8" s="20" t="str">
        <f t="shared" si="1"/>
        <v/>
      </c>
      <c r="G8" s="27"/>
      <c r="H8" s="20" t="str">
        <f t="shared" si="2"/>
        <v/>
      </c>
      <c r="I8" s="18"/>
      <c r="J8" s="18"/>
      <c r="K8" s="21" t="str">
        <f t="shared" si="3"/>
        <v/>
      </c>
      <c r="L8" s="20" t="str">
        <f t="shared" si="4"/>
        <v/>
      </c>
    </row>
    <row r="9" spans="1:12" ht="15" customHeight="1" x14ac:dyDescent="0.3">
      <c r="A9" s="18"/>
      <c r="B9" s="18"/>
      <c r="C9" s="27"/>
      <c r="D9" s="20" t="str">
        <f t="shared" si="0"/>
        <v/>
      </c>
      <c r="E9" s="27"/>
      <c r="F9" s="20" t="str">
        <f t="shared" si="1"/>
        <v/>
      </c>
      <c r="G9" s="27"/>
      <c r="H9" s="20" t="str">
        <f t="shared" si="2"/>
        <v/>
      </c>
      <c r="I9" s="18"/>
      <c r="J9" s="18"/>
      <c r="K9" s="21" t="str">
        <f t="shared" si="3"/>
        <v/>
      </c>
      <c r="L9" s="20" t="str">
        <f t="shared" si="4"/>
        <v/>
      </c>
    </row>
    <row r="10" spans="1:12" ht="15" customHeight="1" x14ac:dyDescent="0.3">
      <c r="A10" s="18"/>
      <c r="B10" s="18"/>
      <c r="C10" s="27"/>
      <c r="D10" s="20" t="str">
        <f t="shared" si="0"/>
        <v/>
      </c>
      <c r="E10" s="27"/>
      <c r="F10" s="20" t="str">
        <f t="shared" si="1"/>
        <v/>
      </c>
      <c r="G10" s="27"/>
      <c r="H10" s="20" t="str">
        <f t="shared" si="2"/>
        <v/>
      </c>
      <c r="I10" s="18"/>
      <c r="J10" s="18"/>
      <c r="K10" s="21" t="str">
        <f t="shared" si="3"/>
        <v/>
      </c>
      <c r="L10" s="20" t="str">
        <f t="shared" si="4"/>
        <v/>
      </c>
    </row>
    <row r="11" spans="1:12" ht="15" customHeight="1" x14ac:dyDescent="0.3">
      <c r="A11" s="18"/>
      <c r="B11" s="18"/>
      <c r="C11" s="27"/>
      <c r="D11" s="20" t="str">
        <f t="shared" si="0"/>
        <v/>
      </c>
      <c r="E11" s="27"/>
      <c r="F11" s="20" t="str">
        <f t="shared" si="1"/>
        <v/>
      </c>
      <c r="G11" s="27"/>
      <c r="H11" s="20" t="str">
        <f t="shared" si="2"/>
        <v/>
      </c>
      <c r="I11" s="18"/>
      <c r="J11" s="18"/>
      <c r="K11" s="21" t="str">
        <f t="shared" si="3"/>
        <v/>
      </c>
      <c r="L11" s="20" t="str">
        <f t="shared" si="4"/>
        <v/>
      </c>
    </row>
    <row r="12" spans="1:12" ht="15" customHeight="1" x14ac:dyDescent="0.3">
      <c r="A12" s="18"/>
      <c r="B12" s="18"/>
      <c r="C12" s="27"/>
      <c r="D12" s="20" t="str">
        <f t="shared" si="0"/>
        <v/>
      </c>
      <c r="E12" s="27"/>
      <c r="F12" s="20" t="str">
        <f t="shared" si="1"/>
        <v/>
      </c>
      <c r="G12" s="27"/>
      <c r="H12" s="20" t="str">
        <f t="shared" si="2"/>
        <v/>
      </c>
      <c r="I12" s="18"/>
      <c r="J12" s="18"/>
      <c r="K12" s="21" t="str">
        <f t="shared" si="3"/>
        <v/>
      </c>
      <c r="L12" s="20" t="str">
        <f t="shared" si="4"/>
        <v/>
      </c>
    </row>
    <row r="13" spans="1:12" ht="15" customHeight="1" x14ac:dyDescent="0.3">
      <c r="A13" s="18"/>
      <c r="B13" s="18"/>
      <c r="C13" s="27"/>
      <c r="D13" s="20" t="str">
        <f t="shared" si="0"/>
        <v/>
      </c>
      <c r="E13" s="27"/>
      <c r="F13" s="20" t="str">
        <f t="shared" si="1"/>
        <v/>
      </c>
      <c r="G13" s="27"/>
      <c r="H13" s="20" t="str">
        <f t="shared" si="2"/>
        <v/>
      </c>
      <c r="I13" s="18"/>
      <c r="J13" s="18"/>
      <c r="K13" s="21" t="str">
        <f t="shared" si="3"/>
        <v/>
      </c>
      <c r="L13" s="20" t="str">
        <f t="shared" si="4"/>
        <v/>
      </c>
    </row>
    <row r="14" spans="1:12" ht="15" customHeight="1" x14ac:dyDescent="0.3">
      <c r="A14" s="18"/>
      <c r="B14" s="18"/>
      <c r="C14" s="27"/>
      <c r="D14" s="20" t="str">
        <f t="shared" si="0"/>
        <v/>
      </c>
      <c r="E14" s="27"/>
      <c r="F14" s="20" t="str">
        <f t="shared" si="1"/>
        <v/>
      </c>
      <c r="G14" s="27"/>
      <c r="H14" s="20" t="str">
        <f t="shared" si="2"/>
        <v/>
      </c>
      <c r="I14" s="18"/>
      <c r="J14" s="18"/>
      <c r="K14" s="21" t="str">
        <f t="shared" si="3"/>
        <v/>
      </c>
      <c r="L14" s="20" t="str">
        <f t="shared" si="4"/>
        <v/>
      </c>
    </row>
    <row r="15" spans="1:12" ht="15" customHeight="1" x14ac:dyDescent="0.3">
      <c r="A15" s="18"/>
      <c r="B15" s="18"/>
      <c r="C15" s="27"/>
      <c r="D15" s="20" t="str">
        <f t="shared" si="0"/>
        <v/>
      </c>
      <c r="E15" s="27"/>
      <c r="F15" s="20" t="str">
        <f t="shared" si="1"/>
        <v/>
      </c>
      <c r="G15" s="27"/>
      <c r="H15" s="20" t="str">
        <f t="shared" si="2"/>
        <v/>
      </c>
      <c r="I15" s="18"/>
      <c r="J15" s="18"/>
      <c r="K15" s="21" t="str">
        <f t="shared" si="3"/>
        <v/>
      </c>
      <c r="L15" s="20" t="str">
        <f t="shared" si="4"/>
        <v/>
      </c>
    </row>
    <row r="16" spans="1:12" ht="15" customHeight="1" x14ac:dyDescent="0.3">
      <c r="A16" s="18"/>
      <c r="B16" s="18"/>
      <c r="C16" s="27"/>
      <c r="D16" s="20" t="str">
        <f t="shared" si="0"/>
        <v/>
      </c>
      <c r="E16" s="27"/>
      <c r="F16" s="20" t="str">
        <f t="shared" si="1"/>
        <v/>
      </c>
      <c r="G16" s="27"/>
      <c r="H16" s="20" t="str">
        <f t="shared" si="2"/>
        <v/>
      </c>
      <c r="I16" s="18"/>
      <c r="J16" s="18"/>
      <c r="K16" s="21" t="str">
        <f t="shared" si="3"/>
        <v/>
      </c>
      <c r="L16" s="20" t="str">
        <f t="shared" si="4"/>
        <v/>
      </c>
    </row>
    <row r="17" spans="1:12" ht="15" customHeight="1" x14ac:dyDescent="0.3">
      <c r="A17" s="18"/>
      <c r="B17" s="18"/>
      <c r="C17" s="27"/>
      <c r="D17" s="20" t="str">
        <f t="shared" si="0"/>
        <v/>
      </c>
      <c r="E17" s="27"/>
      <c r="F17" s="20" t="str">
        <f t="shared" si="1"/>
        <v/>
      </c>
      <c r="G17" s="27"/>
      <c r="H17" s="20" t="str">
        <f t="shared" si="2"/>
        <v/>
      </c>
      <c r="I17" s="18"/>
      <c r="J17" s="18"/>
      <c r="K17" s="21" t="str">
        <f t="shared" si="3"/>
        <v/>
      </c>
      <c r="L17" s="20" t="str">
        <f t="shared" si="4"/>
        <v/>
      </c>
    </row>
    <row r="18" spans="1:12" ht="15" customHeight="1" x14ac:dyDescent="0.3">
      <c r="A18" s="18"/>
      <c r="B18" s="18"/>
      <c r="C18" s="27"/>
      <c r="D18" s="20" t="str">
        <f t="shared" si="0"/>
        <v/>
      </c>
      <c r="E18" s="27"/>
      <c r="F18" s="20" t="str">
        <f t="shared" si="1"/>
        <v/>
      </c>
      <c r="G18" s="27"/>
      <c r="H18" s="20" t="str">
        <f t="shared" si="2"/>
        <v/>
      </c>
      <c r="I18" s="18"/>
      <c r="J18" s="18"/>
      <c r="K18" s="21" t="str">
        <f t="shared" si="3"/>
        <v/>
      </c>
      <c r="L18" s="20" t="str">
        <f t="shared" si="4"/>
        <v/>
      </c>
    </row>
    <row r="19" spans="1:12" ht="15" customHeight="1" x14ac:dyDescent="0.3">
      <c r="A19" s="18"/>
      <c r="B19" s="18"/>
      <c r="C19" s="27"/>
      <c r="D19" s="20" t="str">
        <f t="shared" si="0"/>
        <v/>
      </c>
      <c r="E19" s="27"/>
      <c r="F19" s="20" t="str">
        <f t="shared" si="1"/>
        <v/>
      </c>
      <c r="G19" s="27"/>
      <c r="H19" s="20" t="str">
        <f t="shared" si="2"/>
        <v/>
      </c>
      <c r="I19" s="18"/>
      <c r="J19" s="18"/>
      <c r="K19" s="21" t="str">
        <f t="shared" si="3"/>
        <v/>
      </c>
      <c r="L19" s="20" t="str">
        <f t="shared" si="4"/>
        <v/>
      </c>
    </row>
    <row r="20" spans="1:12" ht="15" customHeight="1" x14ac:dyDescent="0.3">
      <c r="A20" s="18"/>
      <c r="B20" s="18"/>
      <c r="C20" s="27"/>
      <c r="D20" s="20" t="str">
        <f t="shared" si="0"/>
        <v/>
      </c>
      <c r="E20" s="27"/>
      <c r="F20" s="20" t="str">
        <f t="shared" si="1"/>
        <v/>
      </c>
      <c r="G20" s="27"/>
      <c r="H20" s="20" t="str">
        <f t="shared" si="2"/>
        <v/>
      </c>
      <c r="I20" s="18"/>
      <c r="J20" s="18"/>
      <c r="K20" s="21" t="str">
        <f t="shared" si="3"/>
        <v/>
      </c>
      <c r="L20" s="20" t="str">
        <f t="shared" si="4"/>
        <v/>
      </c>
    </row>
    <row r="21" spans="1:12" ht="15" customHeight="1" x14ac:dyDescent="0.3">
      <c r="A21" s="18"/>
      <c r="B21" s="18"/>
      <c r="C21" s="27"/>
      <c r="D21" s="20" t="str">
        <f t="shared" si="0"/>
        <v/>
      </c>
      <c r="E21" s="27"/>
      <c r="F21" s="20" t="str">
        <f t="shared" si="1"/>
        <v/>
      </c>
      <c r="G21" s="27"/>
      <c r="H21" s="20" t="str">
        <f t="shared" si="2"/>
        <v/>
      </c>
      <c r="I21" s="18"/>
      <c r="J21" s="18"/>
      <c r="K21" s="21" t="str">
        <f t="shared" si="3"/>
        <v/>
      </c>
      <c r="L21" s="20" t="str">
        <f t="shared" si="4"/>
        <v/>
      </c>
    </row>
    <row r="22" spans="1:12" ht="15" customHeight="1" x14ac:dyDescent="0.3">
      <c r="A22" s="18"/>
      <c r="B22" s="18"/>
      <c r="C22" s="27"/>
      <c r="D22" s="20" t="str">
        <f t="shared" si="0"/>
        <v/>
      </c>
      <c r="E22" s="27"/>
      <c r="F22" s="20" t="str">
        <f t="shared" si="1"/>
        <v/>
      </c>
      <c r="G22" s="27"/>
      <c r="H22" s="20" t="str">
        <f t="shared" si="2"/>
        <v/>
      </c>
      <c r="I22" s="18"/>
      <c r="J22" s="18"/>
      <c r="K22" s="21" t="str">
        <f t="shared" si="3"/>
        <v/>
      </c>
      <c r="L22" s="20" t="str">
        <f t="shared" si="4"/>
        <v/>
      </c>
    </row>
    <row r="23" spans="1:12" ht="15" customHeight="1" x14ac:dyDescent="0.3">
      <c r="A23" s="18"/>
      <c r="B23" s="18"/>
      <c r="C23" s="27"/>
      <c r="D23" s="20" t="str">
        <f t="shared" si="0"/>
        <v/>
      </c>
      <c r="E23" s="27"/>
      <c r="F23" s="20" t="str">
        <f t="shared" si="1"/>
        <v/>
      </c>
      <c r="G23" s="27"/>
      <c r="H23" s="20" t="str">
        <f t="shared" si="2"/>
        <v/>
      </c>
      <c r="I23" s="18"/>
      <c r="J23" s="18"/>
      <c r="K23" s="21" t="str">
        <f t="shared" si="3"/>
        <v/>
      </c>
      <c r="L23" s="20" t="str">
        <f t="shared" si="4"/>
        <v/>
      </c>
    </row>
    <row r="24" spans="1:12" ht="15" customHeight="1" x14ac:dyDescent="0.3">
      <c r="A24" s="18"/>
      <c r="B24" s="18"/>
      <c r="C24" s="27"/>
      <c r="D24" s="20" t="str">
        <f t="shared" si="0"/>
        <v/>
      </c>
      <c r="E24" s="27"/>
      <c r="F24" s="20" t="str">
        <f t="shared" si="1"/>
        <v/>
      </c>
      <c r="G24" s="27"/>
      <c r="H24" s="20" t="str">
        <f t="shared" si="2"/>
        <v/>
      </c>
      <c r="I24" s="18"/>
      <c r="J24" s="18"/>
      <c r="K24" s="21" t="str">
        <f t="shared" si="3"/>
        <v/>
      </c>
      <c r="L24" s="20" t="str">
        <f t="shared" si="4"/>
        <v/>
      </c>
    </row>
    <row r="25" spans="1:12" ht="15" customHeight="1" x14ac:dyDescent="0.3">
      <c r="A25" s="18"/>
      <c r="B25" s="18"/>
      <c r="C25" s="27"/>
      <c r="D25" s="20" t="str">
        <f t="shared" si="0"/>
        <v/>
      </c>
      <c r="E25" s="27"/>
      <c r="F25" s="20" t="str">
        <f t="shared" si="1"/>
        <v/>
      </c>
      <c r="G25" s="27"/>
      <c r="H25" s="20" t="str">
        <f t="shared" si="2"/>
        <v/>
      </c>
      <c r="I25" s="18"/>
      <c r="J25" s="18"/>
      <c r="K25" s="21" t="str">
        <f t="shared" si="3"/>
        <v/>
      </c>
      <c r="L25" s="20" t="str">
        <f t="shared" si="4"/>
        <v/>
      </c>
    </row>
    <row r="26" spans="1:12" ht="15" customHeight="1" x14ac:dyDescent="0.3">
      <c r="A26" s="18"/>
      <c r="B26" s="18"/>
      <c r="C26" s="27"/>
      <c r="D26" s="20" t="str">
        <f t="shared" si="0"/>
        <v/>
      </c>
      <c r="E26" s="27"/>
      <c r="F26" s="20" t="str">
        <f t="shared" si="1"/>
        <v/>
      </c>
      <c r="G26" s="27"/>
      <c r="H26" s="20" t="str">
        <f t="shared" si="2"/>
        <v/>
      </c>
      <c r="I26" s="18"/>
      <c r="J26" s="18"/>
      <c r="K26" s="21" t="str">
        <f t="shared" si="3"/>
        <v/>
      </c>
      <c r="L26" s="20" t="str">
        <f t="shared" si="4"/>
        <v/>
      </c>
    </row>
    <row r="27" spans="1:12" ht="15" customHeight="1" x14ac:dyDescent="0.3">
      <c r="A27" s="18"/>
      <c r="B27" s="18"/>
      <c r="C27" s="27"/>
      <c r="D27" s="20" t="str">
        <f t="shared" si="0"/>
        <v/>
      </c>
      <c r="E27" s="27"/>
      <c r="F27" s="20" t="str">
        <f t="shared" si="1"/>
        <v/>
      </c>
      <c r="G27" s="27"/>
      <c r="H27" s="20" t="str">
        <f t="shared" si="2"/>
        <v/>
      </c>
      <c r="I27" s="18"/>
      <c r="J27" s="18"/>
      <c r="K27" s="21" t="str">
        <f t="shared" si="3"/>
        <v/>
      </c>
      <c r="L27" s="20" t="str">
        <f t="shared" si="4"/>
        <v/>
      </c>
    </row>
    <row r="28" spans="1:12" ht="15" customHeight="1" x14ac:dyDescent="0.3">
      <c r="A28" s="18"/>
      <c r="B28" s="18"/>
      <c r="C28" s="27"/>
      <c r="D28" s="20" t="str">
        <f t="shared" si="0"/>
        <v/>
      </c>
      <c r="E28" s="27"/>
      <c r="F28" s="20" t="str">
        <f t="shared" si="1"/>
        <v/>
      </c>
      <c r="G28" s="27"/>
      <c r="H28" s="20" t="str">
        <f t="shared" si="2"/>
        <v/>
      </c>
      <c r="I28" s="18"/>
      <c r="J28" s="18"/>
      <c r="K28" s="21" t="str">
        <f t="shared" si="3"/>
        <v/>
      </c>
      <c r="L28" s="20" t="str">
        <f t="shared" si="4"/>
        <v/>
      </c>
    </row>
    <row r="29" spans="1:12" ht="15" customHeight="1" x14ac:dyDescent="0.3">
      <c r="A29" s="18"/>
      <c r="B29" s="18"/>
      <c r="C29" s="27"/>
      <c r="D29" s="20" t="str">
        <f t="shared" si="0"/>
        <v/>
      </c>
      <c r="E29" s="27"/>
      <c r="F29" s="20" t="str">
        <f t="shared" si="1"/>
        <v/>
      </c>
      <c r="G29" s="27"/>
      <c r="H29" s="20" t="str">
        <f t="shared" si="2"/>
        <v/>
      </c>
      <c r="I29" s="18"/>
      <c r="J29" s="18"/>
      <c r="K29" s="21" t="str">
        <f t="shared" si="3"/>
        <v/>
      </c>
      <c r="L29" s="20" t="str">
        <f t="shared" si="4"/>
        <v/>
      </c>
    </row>
    <row r="32" spans="1:12" ht="21.75" customHeight="1" x14ac:dyDescent="0.3">
      <c r="A32" s="33" t="s">
        <v>127</v>
      </c>
      <c r="B32" s="33"/>
      <c r="C32" s="33"/>
      <c r="D32" s="33"/>
      <c r="E32" s="33"/>
      <c r="F32" s="33"/>
      <c r="G32" s="33"/>
    </row>
    <row r="33" spans="1:7" ht="31.5" customHeight="1" x14ac:dyDescent="0.3">
      <c r="A33" s="11" t="s">
        <v>128</v>
      </c>
      <c r="B33" s="11" t="s">
        <v>129</v>
      </c>
      <c r="C33" s="11" t="s">
        <v>56</v>
      </c>
      <c r="D33" s="11" t="s">
        <v>130</v>
      </c>
      <c r="E33" s="11" t="s">
        <v>131</v>
      </c>
      <c r="F33" s="11" t="s">
        <v>80</v>
      </c>
      <c r="G33" s="11" t="s">
        <v>132</v>
      </c>
    </row>
    <row r="34" spans="1:7" ht="15" customHeight="1" x14ac:dyDescent="0.3">
      <c r="A34" s="14" t="s">
        <v>239</v>
      </c>
      <c r="B34" s="14" t="s">
        <v>150</v>
      </c>
      <c r="C34" s="14" t="s">
        <v>172</v>
      </c>
      <c r="D34" s="23">
        <v>46095</v>
      </c>
      <c r="E34" s="23">
        <v>46095</v>
      </c>
      <c r="F34" s="14" t="s">
        <v>85</v>
      </c>
      <c r="G34" s="14" t="str">
        <f t="shared" ref="G34:G63" si="5">IF(D34="","",TEXT(D34,"MMMM YYYY"))</f>
        <v>March 2026</v>
      </c>
    </row>
    <row r="35" spans="1:7" ht="15" customHeight="1" x14ac:dyDescent="0.3">
      <c r="A35" s="18" t="s">
        <v>240</v>
      </c>
      <c r="B35" s="18" t="s">
        <v>164</v>
      </c>
      <c r="C35" s="18" t="s">
        <v>169</v>
      </c>
      <c r="D35" s="23">
        <v>46132</v>
      </c>
      <c r="E35" s="23">
        <v>46136</v>
      </c>
      <c r="F35" s="14" t="s">
        <v>85</v>
      </c>
      <c r="G35" s="20" t="str">
        <f t="shared" si="5"/>
        <v>April 2026</v>
      </c>
    </row>
    <row r="36" spans="1:7" ht="15" customHeight="1" x14ac:dyDescent="0.3">
      <c r="A36" s="18" t="s">
        <v>240</v>
      </c>
      <c r="B36" s="18" t="s">
        <v>164</v>
      </c>
      <c r="C36" s="18" t="s">
        <v>170</v>
      </c>
      <c r="D36" s="23">
        <v>46132</v>
      </c>
      <c r="E36" s="23">
        <v>46136</v>
      </c>
      <c r="F36" s="14" t="s">
        <v>85</v>
      </c>
      <c r="G36" s="20" t="str">
        <f t="shared" si="5"/>
        <v>April 2026</v>
      </c>
    </row>
    <row r="37" spans="1:7" ht="15" customHeight="1" x14ac:dyDescent="0.3">
      <c r="A37" s="18" t="s">
        <v>241</v>
      </c>
      <c r="B37" s="18" t="s">
        <v>146</v>
      </c>
      <c r="C37" s="18" t="s">
        <v>170</v>
      </c>
      <c r="D37" s="23">
        <v>46233</v>
      </c>
      <c r="E37" s="23">
        <v>46233</v>
      </c>
      <c r="F37" s="14" t="s">
        <v>85</v>
      </c>
      <c r="G37" s="20" t="str">
        <f t="shared" si="5"/>
        <v>July 2026</v>
      </c>
    </row>
    <row r="38" spans="1:7" ht="15" customHeight="1" x14ac:dyDescent="0.3">
      <c r="A38" s="18" t="s">
        <v>242</v>
      </c>
      <c r="B38" s="18" t="s">
        <v>163</v>
      </c>
      <c r="C38" s="18" t="s">
        <v>169</v>
      </c>
      <c r="D38" s="23">
        <v>46236</v>
      </c>
      <c r="E38" s="23">
        <v>46236</v>
      </c>
      <c r="F38" s="14" t="s">
        <v>85</v>
      </c>
      <c r="G38" s="20" t="str">
        <f t="shared" si="5"/>
        <v>August 2026</v>
      </c>
    </row>
    <row r="39" spans="1:7" ht="15" customHeight="1" x14ac:dyDescent="0.3">
      <c r="A39" s="18" t="s">
        <v>243</v>
      </c>
      <c r="B39" s="18" t="s">
        <v>146</v>
      </c>
      <c r="C39" s="18" t="s">
        <v>169</v>
      </c>
      <c r="D39" s="23">
        <v>46267</v>
      </c>
      <c r="E39" s="23">
        <v>46267</v>
      </c>
      <c r="F39" s="14" t="s">
        <v>85</v>
      </c>
      <c r="G39" s="20" t="str">
        <f t="shared" si="5"/>
        <v>September 2026</v>
      </c>
    </row>
    <row r="40" spans="1:7" ht="15" customHeight="1" x14ac:dyDescent="0.3">
      <c r="A40" s="18" t="s">
        <v>244</v>
      </c>
      <c r="B40" s="18" t="s">
        <v>163</v>
      </c>
      <c r="C40" s="18" t="s">
        <v>169</v>
      </c>
      <c r="D40" s="23">
        <v>46267</v>
      </c>
      <c r="E40" s="23">
        <v>46267</v>
      </c>
      <c r="F40" s="14" t="s">
        <v>85</v>
      </c>
      <c r="G40" s="20" t="str">
        <f t="shared" si="5"/>
        <v>September 2026</v>
      </c>
    </row>
    <row r="41" spans="1:7" ht="15" customHeight="1" x14ac:dyDescent="0.3">
      <c r="A41" s="18"/>
      <c r="B41" s="18"/>
      <c r="C41" s="18"/>
      <c r="D41" s="24"/>
      <c r="E41" s="24"/>
      <c r="F41" s="20"/>
      <c r="G41" s="20" t="str">
        <f t="shared" si="5"/>
        <v/>
      </c>
    </row>
    <row r="42" spans="1:7" ht="15" customHeight="1" x14ac:dyDescent="0.3">
      <c r="A42" s="18"/>
      <c r="B42" s="18"/>
      <c r="C42" s="18"/>
      <c r="D42" s="24"/>
      <c r="E42" s="24"/>
      <c r="F42" s="20"/>
      <c r="G42" s="20" t="str">
        <f t="shared" si="5"/>
        <v/>
      </c>
    </row>
    <row r="43" spans="1:7" ht="15" customHeight="1" x14ac:dyDescent="0.3">
      <c r="A43" s="18"/>
      <c r="B43" s="18"/>
      <c r="C43" s="18"/>
      <c r="D43" s="24"/>
      <c r="E43" s="24"/>
      <c r="F43" s="20"/>
      <c r="G43" s="20" t="str">
        <f t="shared" si="5"/>
        <v/>
      </c>
    </row>
    <row r="44" spans="1:7" ht="15" customHeight="1" x14ac:dyDescent="0.3">
      <c r="A44" s="18"/>
      <c r="B44" s="18"/>
      <c r="C44" s="18"/>
      <c r="D44" s="24"/>
      <c r="E44" s="24"/>
      <c r="F44" s="20"/>
      <c r="G44" s="20" t="str">
        <f t="shared" si="5"/>
        <v/>
      </c>
    </row>
    <row r="45" spans="1:7" ht="15" customHeight="1" x14ac:dyDescent="0.3">
      <c r="A45" s="18"/>
      <c r="B45" s="18"/>
      <c r="C45" s="18"/>
      <c r="D45" s="24"/>
      <c r="E45" s="24"/>
      <c r="F45" s="20"/>
      <c r="G45" s="20" t="str">
        <f t="shared" si="5"/>
        <v/>
      </c>
    </row>
    <row r="46" spans="1:7" ht="15" customHeight="1" x14ac:dyDescent="0.3">
      <c r="A46" s="18"/>
      <c r="B46" s="18"/>
      <c r="C46" s="18"/>
      <c r="D46" s="24"/>
      <c r="E46" s="24"/>
      <c r="F46" s="20"/>
      <c r="G46" s="20" t="str">
        <f t="shared" si="5"/>
        <v/>
      </c>
    </row>
    <row r="47" spans="1:7" ht="15" customHeight="1" x14ac:dyDescent="0.3">
      <c r="A47" s="18"/>
      <c r="B47" s="18"/>
      <c r="C47" s="18"/>
      <c r="D47" s="24"/>
      <c r="E47" s="24"/>
      <c r="F47" s="20"/>
      <c r="G47" s="20" t="str">
        <f t="shared" si="5"/>
        <v/>
      </c>
    </row>
    <row r="48" spans="1:7" ht="15" customHeight="1" x14ac:dyDescent="0.3">
      <c r="A48" s="18"/>
      <c r="B48" s="18"/>
      <c r="C48" s="18"/>
      <c r="D48" s="24"/>
      <c r="E48" s="24"/>
      <c r="F48" s="20"/>
      <c r="G48" s="20" t="str">
        <f t="shared" si="5"/>
        <v/>
      </c>
    </row>
    <row r="49" spans="1:7" ht="15" customHeight="1" x14ac:dyDescent="0.3">
      <c r="A49" s="18"/>
      <c r="B49" s="18"/>
      <c r="C49" s="18"/>
      <c r="D49" s="24"/>
      <c r="E49" s="24"/>
      <c r="F49" s="20"/>
      <c r="G49" s="20" t="str">
        <f t="shared" si="5"/>
        <v/>
      </c>
    </row>
    <row r="50" spans="1:7" ht="15" customHeight="1" x14ac:dyDescent="0.3">
      <c r="A50" s="18"/>
      <c r="B50" s="18"/>
      <c r="C50" s="18"/>
      <c r="D50" s="24"/>
      <c r="E50" s="24"/>
      <c r="F50" s="20"/>
      <c r="G50" s="20" t="str">
        <f t="shared" si="5"/>
        <v/>
      </c>
    </row>
    <row r="51" spans="1:7" ht="15" customHeight="1" x14ac:dyDescent="0.3">
      <c r="A51" s="18"/>
      <c r="B51" s="18"/>
      <c r="C51" s="18"/>
      <c r="D51" s="24"/>
      <c r="E51" s="24"/>
      <c r="F51" s="20"/>
      <c r="G51" s="20" t="str">
        <f t="shared" si="5"/>
        <v/>
      </c>
    </row>
    <row r="52" spans="1:7" ht="15" customHeight="1" x14ac:dyDescent="0.3">
      <c r="A52" s="18"/>
      <c r="B52" s="18"/>
      <c r="C52" s="18"/>
      <c r="D52" s="24"/>
      <c r="E52" s="24"/>
      <c r="F52" s="20"/>
      <c r="G52" s="20" t="str">
        <f t="shared" si="5"/>
        <v/>
      </c>
    </row>
    <row r="53" spans="1:7" ht="15" customHeight="1" x14ac:dyDescent="0.3">
      <c r="A53" s="18"/>
      <c r="B53" s="18"/>
      <c r="C53" s="18"/>
      <c r="D53" s="24"/>
      <c r="E53" s="24"/>
      <c r="F53" s="20"/>
      <c r="G53" s="20" t="str">
        <f t="shared" si="5"/>
        <v/>
      </c>
    </row>
    <row r="54" spans="1:7" ht="15" customHeight="1" x14ac:dyDescent="0.3">
      <c r="A54" s="18"/>
      <c r="B54" s="18"/>
      <c r="C54" s="18"/>
      <c r="D54" s="24"/>
      <c r="E54" s="24"/>
      <c r="F54" s="20"/>
      <c r="G54" s="20" t="str">
        <f t="shared" si="5"/>
        <v/>
      </c>
    </row>
    <row r="55" spans="1:7" ht="15" customHeight="1" x14ac:dyDescent="0.3">
      <c r="A55" s="18"/>
      <c r="B55" s="18"/>
      <c r="C55" s="18"/>
      <c r="D55" s="24"/>
      <c r="E55" s="24"/>
      <c r="F55" s="20"/>
      <c r="G55" s="20" t="str">
        <f t="shared" si="5"/>
        <v/>
      </c>
    </row>
    <row r="56" spans="1:7" ht="15" customHeight="1" x14ac:dyDescent="0.3">
      <c r="A56" s="18"/>
      <c r="B56" s="18"/>
      <c r="C56" s="18"/>
      <c r="D56" s="24"/>
      <c r="E56" s="24"/>
      <c r="F56" s="20"/>
      <c r="G56" s="20" t="str">
        <f t="shared" si="5"/>
        <v/>
      </c>
    </row>
    <row r="57" spans="1:7" ht="15" customHeight="1" x14ac:dyDescent="0.3">
      <c r="A57" s="18"/>
      <c r="B57" s="18"/>
      <c r="C57" s="18"/>
      <c r="D57" s="24"/>
      <c r="E57" s="24"/>
      <c r="F57" s="20"/>
      <c r="G57" s="20" t="str">
        <f t="shared" si="5"/>
        <v/>
      </c>
    </row>
    <row r="58" spans="1:7" ht="15" customHeight="1" x14ac:dyDescent="0.3">
      <c r="A58" s="18"/>
      <c r="B58" s="18"/>
      <c r="C58" s="18"/>
      <c r="D58" s="24"/>
      <c r="E58" s="24"/>
      <c r="F58" s="20"/>
      <c r="G58" s="20" t="str">
        <f t="shared" si="5"/>
        <v/>
      </c>
    </row>
    <row r="59" spans="1:7" ht="15" customHeight="1" x14ac:dyDescent="0.3">
      <c r="A59" s="18"/>
      <c r="B59" s="18"/>
      <c r="C59" s="18"/>
      <c r="D59" s="24"/>
      <c r="E59" s="24"/>
      <c r="F59" s="20"/>
      <c r="G59" s="20" t="str">
        <f t="shared" si="5"/>
        <v/>
      </c>
    </row>
    <row r="60" spans="1:7" ht="15" customHeight="1" x14ac:dyDescent="0.3">
      <c r="A60" s="18"/>
      <c r="B60" s="18"/>
      <c r="C60" s="18"/>
      <c r="D60" s="24"/>
      <c r="E60" s="24"/>
      <c r="F60" s="20"/>
      <c r="G60" s="20" t="str">
        <f t="shared" si="5"/>
        <v/>
      </c>
    </row>
    <row r="61" spans="1:7" ht="15" customHeight="1" x14ac:dyDescent="0.3">
      <c r="A61" s="18"/>
      <c r="B61" s="18"/>
      <c r="C61" s="18"/>
      <c r="D61" s="24"/>
      <c r="E61" s="24"/>
      <c r="F61" s="20"/>
      <c r="G61" s="20" t="str">
        <f t="shared" si="5"/>
        <v/>
      </c>
    </row>
    <row r="62" spans="1:7" ht="15" customHeight="1" x14ac:dyDescent="0.3">
      <c r="A62" s="18"/>
      <c r="B62" s="18"/>
      <c r="C62" s="18"/>
      <c r="D62" s="24"/>
      <c r="E62" s="24"/>
      <c r="F62" s="20"/>
      <c r="G62" s="20" t="str">
        <f t="shared" si="5"/>
        <v/>
      </c>
    </row>
    <row r="63" spans="1:7" ht="15" customHeight="1" x14ac:dyDescent="0.3">
      <c r="A63" s="18"/>
      <c r="B63" s="18"/>
      <c r="C63" s="18"/>
      <c r="D63" s="24"/>
      <c r="E63" s="24"/>
      <c r="F63" s="20"/>
      <c r="G63" s="20" t="str">
        <f t="shared" si="5"/>
        <v/>
      </c>
    </row>
  </sheetData>
  <mergeCells count="5">
    <mergeCell ref="A1:L1"/>
    <mergeCell ref="A2:L2"/>
    <mergeCell ref="A3:L3"/>
    <mergeCell ref="A4:L4"/>
    <mergeCell ref="A32:G32"/>
  </mergeCells>
  <conditionalFormatting sqref="D6:D29">
    <cfRule type="cellIs" dxfId="11" priority="2" operator="equal">
      <formula>"Green"</formula>
    </cfRule>
    <cfRule type="cellIs" dxfId="10" priority="3" operator="equal">
      <formula>"Yellow"</formula>
    </cfRule>
    <cfRule type="cellIs" dxfId="9" priority="4" operator="equal">
      <formula>"Red"</formula>
    </cfRule>
  </conditionalFormatting>
  <conditionalFormatting sqref="F6:F29">
    <cfRule type="cellIs" dxfId="8" priority="5" operator="equal">
      <formula>"Green"</formula>
    </cfRule>
    <cfRule type="cellIs" dxfId="7" priority="6" operator="equal">
      <formula>"Yellow"</formula>
    </cfRule>
    <cfRule type="cellIs" dxfId="6" priority="7" operator="equal">
      <formula>"Red"</formula>
    </cfRule>
  </conditionalFormatting>
  <conditionalFormatting sqref="H6:H29">
    <cfRule type="cellIs" dxfId="5" priority="8" operator="equal">
      <formula>"Green"</formula>
    </cfRule>
    <cfRule type="cellIs" dxfId="4" priority="9" operator="equal">
      <formula>"Yellow"</formula>
    </cfRule>
    <cfRule type="cellIs" dxfId="3" priority="10" operator="equal">
      <formula>"Red"</formula>
    </cfRule>
  </conditionalFormatting>
  <conditionalFormatting sqref="L6:L29">
    <cfRule type="cellIs" dxfId="2" priority="11" operator="equal">
      <formula>"Green"</formula>
    </cfRule>
    <cfRule type="cellIs" dxfId="1" priority="12" operator="equal">
      <formula>"Yellow"</formula>
    </cfRule>
    <cfRule type="cellIs" dxfId="0" priority="13" operator="equal">
      <formula>"Red"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Invalid entry" error="Please choose a value from the dropdown list." xr:uid="{00000000-0002-0000-0400-000000000000}">
          <x14:formula1>
            <xm:f>Lists!$B$2:$B$13</xm:f>
          </x14:formula1>
          <x14:formula2>
            <xm:f>0</xm:f>
          </x14:formula2>
          <xm:sqref>B6:B29</xm:sqref>
        </x14:dataValidation>
        <x14:dataValidation type="list" allowBlank="1" errorTitle="Invalid entry" error="Please choose a value from the dropdown list." xr:uid="{00000000-0002-0000-0400-000001000000}">
          <x14:formula1>
            <xm:f>Lists!$F$2:$F$9</xm:f>
          </x14:formula1>
          <x14:formula2>
            <xm:f>0</xm:f>
          </x14:formula2>
          <xm:sqref>B34:B63</xm:sqref>
        </x14:dataValidation>
        <x14:dataValidation type="list" allowBlank="1" errorTitle="Invalid entry" error="Please choose a value from the dropdown list." xr:uid="{00000000-0002-0000-0400-000002000000}">
          <x14:formula1>
            <xm:f>Lists!$A$2:$A$5</xm:f>
          </x14:formula1>
          <x14:formula2>
            <xm:f>0</xm:f>
          </x14:formula2>
          <xm:sqref>C34:C63</xm:sqref>
        </x14:dataValidation>
        <x14:dataValidation type="list" allowBlank="1" errorTitle="Invalid entry" error="Please choose a value from the dropdown list." xr:uid="{00000000-0002-0000-0400-000003000000}">
          <x14:formula1>
            <xm:f>Lists!$G$2:$G$5</xm:f>
          </x14:formula1>
          <x14:formula2>
            <xm:f>0</xm:f>
          </x14:formula2>
          <xm:sqref>F34:F63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zoomScaleNormal="100" workbookViewId="0">
      <selection activeCell="A6" sqref="A6"/>
    </sheetView>
  </sheetViews>
  <sheetFormatPr defaultColWidth="8.6640625" defaultRowHeight="14.4" x14ac:dyDescent="0.3"/>
  <cols>
    <col min="1" max="7" width="22" style="1" customWidth="1"/>
  </cols>
  <sheetData>
    <row r="1" spans="1:7" ht="15" customHeight="1" x14ac:dyDescent="0.3">
      <c r="A1" s="28" t="s">
        <v>56</v>
      </c>
      <c r="B1" s="28" t="s">
        <v>55</v>
      </c>
      <c r="C1" s="28" t="s">
        <v>94</v>
      </c>
      <c r="D1" s="28" t="s">
        <v>134</v>
      </c>
      <c r="E1" s="28" t="s">
        <v>135</v>
      </c>
      <c r="F1" s="28" t="s">
        <v>136</v>
      </c>
      <c r="G1" s="28" t="s">
        <v>137</v>
      </c>
    </row>
    <row r="2" spans="1:7" ht="15" customHeight="1" x14ac:dyDescent="0.3">
      <c r="A2" s="1" t="s">
        <v>169</v>
      </c>
      <c r="B2" s="1" t="s">
        <v>138</v>
      </c>
      <c r="C2" s="1" t="s">
        <v>139</v>
      </c>
      <c r="D2" s="1" t="s">
        <v>90</v>
      </c>
      <c r="E2" s="1" t="s">
        <v>140</v>
      </c>
      <c r="F2" s="1" t="s">
        <v>141</v>
      </c>
      <c r="G2" s="1" t="s">
        <v>140</v>
      </c>
    </row>
    <row r="3" spans="1:7" ht="15" customHeight="1" x14ac:dyDescent="0.3">
      <c r="A3" s="1" t="s">
        <v>170</v>
      </c>
      <c r="B3" s="1" t="s">
        <v>142</v>
      </c>
      <c r="C3" s="1" t="s">
        <v>143</v>
      </c>
      <c r="D3" s="1" t="s">
        <v>144</v>
      </c>
      <c r="E3" s="1" t="s">
        <v>145</v>
      </c>
      <c r="F3" s="1" t="s">
        <v>146</v>
      </c>
      <c r="G3" s="1" t="s">
        <v>85</v>
      </c>
    </row>
    <row r="4" spans="1:7" ht="15" customHeight="1" x14ac:dyDescent="0.3">
      <c r="A4" s="1" t="s">
        <v>171</v>
      </c>
      <c r="B4" s="1" t="s">
        <v>147</v>
      </c>
      <c r="C4" s="1" t="s">
        <v>148</v>
      </c>
      <c r="D4" s="1" t="s">
        <v>149</v>
      </c>
      <c r="E4" s="1" t="s">
        <v>85</v>
      </c>
      <c r="F4" s="1" t="s">
        <v>150</v>
      </c>
      <c r="G4" s="1" t="s">
        <v>151</v>
      </c>
    </row>
    <row r="5" spans="1:7" ht="15" customHeight="1" x14ac:dyDescent="0.3">
      <c r="A5" s="1" t="s">
        <v>172</v>
      </c>
      <c r="B5" s="1" t="s">
        <v>152</v>
      </c>
      <c r="C5" s="1" t="s">
        <v>105</v>
      </c>
      <c r="D5" s="1" t="s">
        <v>153</v>
      </c>
      <c r="E5" s="1" t="s">
        <v>154</v>
      </c>
      <c r="F5" s="1" t="s">
        <v>155</v>
      </c>
      <c r="G5" s="1" t="s">
        <v>156</v>
      </c>
    </row>
    <row r="6" spans="1:7" ht="15" customHeight="1" x14ac:dyDescent="0.3">
      <c r="B6" s="1" t="s">
        <v>157</v>
      </c>
      <c r="C6" s="1" t="s">
        <v>158</v>
      </c>
      <c r="D6" s="1" t="s">
        <v>159</v>
      </c>
      <c r="F6" s="1" t="s">
        <v>160</v>
      </c>
    </row>
    <row r="7" spans="1:7" ht="15" customHeight="1" x14ac:dyDescent="0.3">
      <c r="B7" s="1" t="s">
        <v>161</v>
      </c>
      <c r="F7" s="1" t="s">
        <v>133</v>
      </c>
    </row>
    <row r="8" spans="1:7" ht="15" customHeight="1" x14ac:dyDescent="0.3">
      <c r="B8" s="1" t="s">
        <v>162</v>
      </c>
      <c r="F8" s="1" t="s">
        <v>163</v>
      </c>
    </row>
    <row r="9" spans="1:7" ht="15" customHeight="1" x14ac:dyDescent="0.3">
      <c r="B9" s="1" t="s">
        <v>73</v>
      </c>
      <c r="F9" s="1" t="s">
        <v>164</v>
      </c>
    </row>
    <row r="10" spans="1:7" ht="15" customHeight="1" x14ac:dyDescent="0.3">
      <c r="B10" s="1" t="s">
        <v>165</v>
      </c>
    </row>
    <row r="11" spans="1:7" ht="15" customHeight="1" x14ac:dyDescent="0.3">
      <c r="B11" s="1" t="s">
        <v>166</v>
      </c>
    </row>
    <row r="12" spans="1:7" ht="15" customHeight="1" x14ac:dyDescent="0.3">
      <c r="B12" s="1" t="s">
        <v>167</v>
      </c>
    </row>
    <row r="13" spans="1:7" ht="15" customHeight="1" x14ac:dyDescent="0.3">
      <c r="B13" s="1" t="s">
        <v>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P1 - MARCOM Spending</vt:lpstr>
      <vt:lpstr>P2 - Media Campaigns</vt:lpstr>
      <vt:lpstr>P3 - Digital Performance</vt:lpstr>
      <vt:lpstr>P4 - Trade Marketing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nahla burweiss</cp:lastModifiedBy>
  <cp:revision>0</cp:revision>
  <dcterms:created xsi:type="dcterms:W3CDTF">2026-09-17T08:03:11Z</dcterms:created>
  <dcterms:modified xsi:type="dcterms:W3CDTF">2026-10-03T09:32:01Z</dcterms:modified>
  <dc:language>en-US</dc:language>
</cp:coreProperties>
</file>