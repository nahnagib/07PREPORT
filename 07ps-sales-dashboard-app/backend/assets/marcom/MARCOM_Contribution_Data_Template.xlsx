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1 - MARCOM Spending" sheetId="2" state="visible" r:id="rId2"/>
    <sheet xmlns:r="http://schemas.openxmlformats.org/officeDocument/2006/relationships" name="P2 - Media Campaigns" sheetId="3" state="visible" r:id="rId3"/>
    <sheet xmlns:r="http://schemas.openxmlformats.org/officeDocument/2006/relationships" name="P3 - Digital Performance" sheetId="4" state="visible" r:id="rId4"/>
    <sheet xmlns:r="http://schemas.openxmlformats.org/officeDocument/2006/relationships" name="P4 - Trade Marketing" sheetId="5" state="visible" r:id="rId5"/>
    <sheet xmlns:r="http://schemas.openxmlformats.org/officeDocument/2006/relationships" name="Lists" sheetId="6" state="hidden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\x"/>
    <numFmt numFmtId="165" formatCode="0.0%"/>
    <numFmt numFmtId="166" formatCode="dd/mm/yyyy"/>
    <numFmt numFmtId="167" formatCode="0.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8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000000"/>
      <sz val="10"/>
    </font>
  </fonts>
  <fills count="10">
    <fill>
      <patternFill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D9E1F2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8" fillId="8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/>
    </xf>
    <xf numFmtId="164" fontId="11" fillId="4" borderId="1" applyAlignment="1" pivotButton="0" quotePrefix="0" xfId="0">
      <alignment horizontal="center" vertical="center"/>
    </xf>
    <xf numFmtId="165" fontId="11" fillId="4" borderId="1" applyAlignment="1" pivotButton="0" quotePrefix="0" xfId="0">
      <alignment horizontal="center" vertical="center"/>
    </xf>
    <xf numFmtId="4" fontId="11" fillId="4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center" vertical="center"/>
    </xf>
    <xf numFmtId="4" fontId="7" fillId="3" borderId="1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 indent="1"/>
    </xf>
    <xf numFmtId="166" fontId="11" fillId="4" borderId="1" applyAlignment="1" pivotButton="0" quotePrefix="0" xfId="0">
      <alignment horizontal="center" vertical="center"/>
    </xf>
    <xf numFmtId="166" fontId="7" fillId="2" borderId="1" applyAlignment="1" pivotButton="0" quotePrefix="0" xfId="0">
      <alignment horizontal="center" vertical="center"/>
    </xf>
    <xf numFmtId="167" fontId="11" fillId="4" borderId="1" applyAlignment="1" pivotButton="0" quotePrefix="0" xfId="0">
      <alignment horizontal="center" vertical="center"/>
    </xf>
    <xf numFmtId="167" fontId="7" fillId="3" borderId="1" applyAlignment="1" pivotButton="0" quotePrefix="0" xfId="0">
      <alignment horizontal="center" vertical="center"/>
    </xf>
    <xf numFmtId="165" fontId="7" fillId="2" borderId="1" applyAlignment="1" pivotButton="0" quotePrefix="0" xfId="0">
      <alignment horizontal="center" vertical="center"/>
    </xf>
    <xf numFmtId="0" fontId="8" fillId="8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8" fillId="8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/>
    </xf>
    <xf numFmtId="164" fontId="11" fillId="4" borderId="1" applyAlignment="1" pivotButton="0" quotePrefix="0" xfId="0">
      <alignment horizontal="center" vertical="center"/>
    </xf>
    <xf numFmtId="165" fontId="11" fillId="4" borderId="1" applyAlignment="1" pivotButton="0" quotePrefix="0" xfId="0">
      <alignment horizontal="center" vertical="center"/>
    </xf>
    <xf numFmtId="4" fontId="11" fillId="4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center" vertical="center"/>
    </xf>
    <xf numFmtId="4" fontId="7" fillId="3" borderId="1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 indent="1"/>
    </xf>
    <xf numFmtId="166" fontId="11" fillId="4" borderId="1" applyAlignment="1" pivotButton="0" quotePrefix="0" xfId="0">
      <alignment horizontal="center" vertical="center"/>
    </xf>
    <xf numFmtId="166" fontId="7" fillId="2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167" fontId="11" fillId="4" borderId="1" applyAlignment="1" pivotButton="0" quotePrefix="0" xfId="0">
      <alignment horizontal="center" vertical="center"/>
    </xf>
    <xf numFmtId="167" fontId="7" fillId="3" borderId="1" applyAlignment="1" pivotButton="0" quotePrefix="0" xfId="0">
      <alignment horizontal="center" vertical="center"/>
    </xf>
    <xf numFmtId="165" fontId="7" fillId="2" borderId="1" applyAlignment="1" pivotButton="0" quotePrefix="0" xfId="0">
      <alignment horizontal="center" vertical="center"/>
    </xf>
    <xf numFmtId="0" fontId="8" fillId="8" borderId="0" applyAlignment="1" pivotButton="0" quotePrefix="0" xfId="0">
      <alignment horizontal="general" vertical="bottom"/>
    </xf>
    <xf numFmtId="0" fontId="8" fillId="8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4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4" min="1" max="1"/>
    <col width="34" customWidth="1" style="34" min="2" max="2"/>
    <col width="90" customWidth="1" style="34" min="3" max="3"/>
  </cols>
  <sheetData>
    <row r="2" ht="21.75" customHeight="1" s="35">
      <c r="B2" s="36" t="inlineStr">
        <is>
          <t>MARCOM CONTRIBUTION — Data Collection Template</t>
        </is>
      </c>
    </row>
    <row r="3" ht="15" customHeight="1" s="35">
      <c r="B3" s="37" t="inlineStr">
        <is>
          <t>For the Marketing Manager to complete monthly — this data feeds the 4-page MARCOM dashboard.</t>
        </is>
      </c>
    </row>
    <row r="5" ht="15" customHeight="1" s="35">
      <c r="B5" s="38" t="inlineStr">
        <is>
          <t>How to use this workbook</t>
        </is>
      </c>
    </row>
    <row r="6" ht="15" customHeight="1" s="35">
      <c r="B6" s="39" t="inlineStr">
        <is>
          <t>•</t>
        </is>
      </c>
      <c r="C6" s="40" t="inlineStr">
        <is>
          <t>This workbook has one tab per dashboard page, plus a 'Lists' tab (dropdown sources - do not edit).</t>
        </is>
      </c>
    </row>
    <row r="7" ht="23.25" customHeight="1" s="35">
      <c r="B7" s="39" t="inlineStr">
        <is>
          <t>•</t>
        </is>
      </c>
      <c r="C7" s="40" t="inlineStr">
        <is>
          <t>Fill in only the YELLOW cells. GREY cells contain formulas that calculate KPIs automatically - please do not overwrite them.</t>
        </is>
      </c>
    </row>
    <row r="8" ht="23.25" customHeight="1" s="35">
      <c r="B8" s="39" t="inlineStr">
        <is>
          <t>•</t>
        </is>
      </c>
      <c r="C8" s="40" t="inlineStr">
        <is>
          <t>Each table includes one GREEN example row showing the expected format and units. Delete or overwrite example rows before sending real data.</t>
        </is>
      </c>
    </row>
    <row r="9" ht="15" customHeight="1" s="35">
      <c r="B9" s="39" t="inlineStr">
        <is>
          <t>•</t>
        </is>
      </c>
      <c r="C9" s="40" t="inlineStr">
        <is>
          <t>Enter one row per Month / Brand / Campaign / Platform / Event as indicated in each table.</t>
        </is>
      </c>
    </row>
    <row r="10" ht="23.25" customHeight="1" s="35">
      <c r="B10" s="39" t="inlineStr">
        <is>
          <t>•</t>
        </is>
      </c>
      <c r="C10" s="40" t="inlineStr">
        <is>
          <t>Where a dropdown arrow appears, please select from the list rather than typing free text, so the dashboard can group data correctly.</t>
        </is>
      </c>
    </row>
    <row r="11" ht="15" customHeight="1" s="35">
      <c r="B11" s="39" t="inlineStr">
        <is>
          <t>•</t>
        </is>
      </c>
      <c r="C11" s="40" t="inlineStr">
        <is>
          <t>All monetary values should be entered in Libyan Dinar (LYD) unless a column states otherwise.</t>
        </is>
      </c>
    </row>
    <row r="12" ht="15" customHeight="1" s="35">
      <c r="B12" s="39" t="inlineStr">
        <is>
          <t>•</t>
        </is>
      </c>
      <c r="C12" s="40" t="inlineStr">
        <is>
          <t>Dates should be entered as DD/MM/YYYY.</t>
        </is>
      </c>
    </row>
    <row r="13" ht="15" customHeight="1" s="35">
      <c r="B13" s="39" t="inlineStr">
        <is>
          <t>•</t>
        </is>
      </c>
      <c r="C13" s="40" t="inlineStr">
        <is>
          <t>Please keep one row per record (do not merge cells or insert blank rows inside a table).</t>
        </is>
      </c>
    </row>
    <row r="15" ht="15" customHeight="1" s="35">
      <c r="B15" s="38" t="inlineStr">
        <is>
          <t>Color legend</t>
        </is>
      </c>
    </row>
    <row r="16" ht="15" customHeight="1" s="35">
      <c r="B16" s="41" t="n"/>
      <c r="C16" s="39" t="inlineStr">
        <is>
          <t>Input cell — please fill in</t>
        </is>
      </c>
    </row>
    <row r="17" ht="15" customHeight="1" s="35">
      <c r="B17" s="42" t="n"/>
      <c r="C17" s="39" t="inlineStr">
        <is>
          <t>Auto-calculated cell — formula, do not edit</t>
        </is>
      </c>
    </row>
    <row r="18" ht="15" customHeight="1" s="35">
      <c r="B18" s="43" t="n"/>
      <c r="C18" s="39" t="inlineStr">
        <is>
          <t>Example row — for format reference only</t>
        </is>
      </c>
    </row>
    <row r="19" ht="15" customHeight="1" s="35">
      <c r="B19" s="44" t="n"/>
      <c r="C19" s="39" t="inlineStr">
        <is>
          <t>KPI is in the GREEN (on-target) zone</t>
        </is>
      </c>
    </row>
    <row r="20" ht="15" customHeight="1" s="35">
      <c r="B20" s="45" t="n"/>
      <c r="C20" s="39" t="inlineStr">
        <is>
          <t>KPI is in the YELLOW (watch) zone</t>
        </is>
      </c>
    </row>
    <row r="21" ht="15" customHeight="1" s="35">
      <c r="B21" s="46" t="n"/>
      <c r="C21" s="39" t="inlineStr">
        <is>
          <t>KPI is in the RED (off-target) zone</t>
        </is>
      </c>
    </row>
    <row r="23" ht="15" customHeight="1" s="35">
      <c r="B23" s="38" t="inlineStr">
        <is>
          <t>KPI definitions &amp; RAG thresholds</t>
        </is>
      </c>
    </row>
    <row r="24" ht="30" customHeight="1" s="35">
      <c r="B24" s="47" t="inlineStr">
        <is>
          <t>Metric</t>
        </is>
      </c>
      <c r="C24" s="47" t="inlineStr">
        <is>
          <t>Formula &amp; thresholds</t>
        </is>
      </c>
    </row>
    <row r="25" ht="45" customHeight="1" s="35">
      <c r="B25" s="48" t="inlineStr">
        <is>
          <t>ROI Ratio (Spend : Revenue)</t>
        </is>
      </c>
      <c r="C25" s="40" t="inlineStr">
        <is>
          <t>Revenue Attributed to Marketing ÷ Total Spend, shown as "1 : X". Green if X &gt; 5 · Yellow if 3 ≤ X ≤ 5 · Red if X &lt; 3.</t>
        </is>
      </c>
    </row>
    <row r="26" ht="45" customHeight="1" s="35">
      <c r="B26" s="48" t="inlineStr">
        <is>
          <t>Budget Utilization %</t>
        </is>
      </c>
      <c r="C26" s="40" t="inlineStr">
        <is>
          <t>Actual Spend ÷ Budget Allocated, by Brand.</t>
        </is>
      </c>
    </row>
    <row r="27" ht="45" customHeight="1" s="35">
      <c r="B27" s="48" t="inlineStr">
        <is>
          <t>Brand Growth %</t>
        </is>
      </c>
      <c r="C27" s="40" t="inlineStr">
        <is>
          <t>(Current Period Revenue − Prior Year Revenue) ÷ Prior Year Revenue.</t>
        </is>
      </c>
    </row>
    <row r="28" ht="45" customHeight="1" s="35">
      <c r="B28" s="48" t="inlineStr">
        <is>
          <t>CAC (Customer Acquisition Cost)</t>
        </is>
      </c>
      <c r="C28" s="40" t="inlineStr">
        <is>
          <t>Total Spend ÷ # of New Customers, then compared as a % of Average Sales per Invoice (LYD). Green if CAC ≤ 3% of Sales/Invoice · Yellow if 3%–5% · Red if &gt; 5%. (Note: your brief listed "Green &lt; 5%" and "Yellow 3–5%", which overlap — we've set Green at ≤3% so the three bands don't overlap. Adjust in the formulas if you intended differently.)</t>
        </is>
      </c>
    </row>
    <row r="29" ht="45" customHeight="1" s="35">
      <c r="B29" s="48" t="inlineStr">
        <is>
          <t>CPC (Cost per Click)</t>
        </is>
      </c>
      <c r="C29" s="40" t="inlineStr">
        <is>
          <t>Total Cost of Posts ÷ Total Clicks. Green if &lt; 2.5 LYD · Yellow if 2.5–5 LYD · Red if &gt; 5 LYD.</t>
        </is>
      </c>
    </row>
    <row r="30" ht="45" customHeight="1" s="35">
      <c r="B30" s="48" t="inlineStr">
        <is>
          <t>CTR (Click Through Rate)</t>
        </is>
      </c>
      <c r="C30" s="40" t="inlineStr">
        <is>
          <t># Clicks ÷ # Impressions × 100. Green if &gt; 5% · Yellow if 3%–5% · Red if &lt; 3%.</t>
        </is>
      </c>
    </row>
    <row r="31" ht="45" customHeight="1" s="35">
      <c r="B31" s="48" t="inlineStr">
        <is>
          <t>Engagement Rate</t>
        </is>
      </c>
      <c r="C31" s="40" t="inlineStr">
        <is>
          <t>(Likes + Comments + Shares + Saves + Clicks) ÷ Impressions. Green if &gt; 5% · Yellow if 3%–5% · Red if &lt; 3%.</t>
        </is>
      </c>
    </row>
    <row r="32" ht="45" customHeight="1" s="35">
      <c r="B32" s="48" t="inlineStr">
        <is>
          <t>Bounce Rate</t>
        </is>
      </c>
      <c r="C32" s="40" t="inlineStr">
        <is>
          <t># Single-page Visitors ÷ Total # Visitors × 100.</t>
        </is>
      </c>
    </row>
    <row r="33" ht="45" customHeight="1" s="35">
      <c r="B33" s="48" t="inlineStr">
        <is>
          <t>Average Session Duration</t>
        </is>
      </c>
      <c r="C33" s="40" t="inlineStr">
        <is>
          <t>Total Minutes Spent by All Visitors ÷ Total # Visitors (Sessions). Green if &gt; 3 min · Yellow if 1–3 min · Red if &lt; 1 min.</t>
        </is>
      </c>
    </row>
    <row r="34" ht="45" customHeight="1" s="35">
      <c r="B34" s="48" t="inlineStr">
        <is>
          <t>Compliance / Stock / Attendance Rate</t>
        </is>
      </c>
      <c r="C34" s="40" t="inlineStr">
        <is>
          <t>Green if &gt; 90% · Yellow if 80%–90% · Red if &lt; 80% (applies to Compliance Rate, Giveaways Stock, Printed Materials Stock, and Attendance Rate).</t>
        </is>
      </c>
    </row>
    <row r="36" ht="15" customHeight="1" s="35">
      <c r="B36" s="38" t="inlineStr">
        <is>
          <t>Tabs in this workbook</t>
        </is>
      </c>
    </row>
    <row r="37" ht="15" customHeight="1" s="35">
      <c r="B37" s="49" t="inlineStr">
        <is>
          <t>P1 - MARCOM Spending</t>
        </is>
      </c>
      <c r="C37" s="40" t="inlineStr">
        <is>
          <t>Monthly spend, revenue, budget and CAC/CPC data by Brand.</t>
        </is>
      </c>
    </row>
    <row r="38" ht="15" customHeight="1" s="35">
      <c r="B38" s="49" t="inlineStr">
        <is>
          <t>P2 - Media Campaigns</t>
        </is>
      </c>
      <c r="C38" s="40" t="inlineStr">
        <is>
          <t>Campaign-level spend/revenue, timeline, and OOH (out-of-home) coverage &amp; cost by media type and city (Table B: one row per campaign, media type and city).</t>
        </is>
      </c>
    </row>
    <row r="39" ht="15" customHeight="1" s="35">
      <c r="B39" s="49" t="inlineStr">
        <is>
          <t>P3 - Digital Performance</t>
        </is>
      </c>
      <c r="C39" s="40" t="inlineStr">
        <is>
          <t>Monthly social media and website traffic data.</t>
        </is>
      </c>
    </row>
    <row r="40" ht="15" customHeight="1" s="35">
      <c r="B40" s="49" t="inlineStr">
        <is>
          <t>P4 - Trade Marketing</t>
        </is>
      </c>
      <c r="C40" s="40" t="inlineStr">
        <is>
          <t>Monthly compliance/stock/attendance KPIs and the events log.</t>
        </is>
      </c>
    </row>
  </sheetData>
  <mergeCells count="2">
    <mergeCell ref="B3:C3"/>
    <mergeCell ref="B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U3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34" min="1" max="1"/>
    <col width="11" customWidth="1" style="34" min="2" max="2"/>
    <col width="12" customWidth="1" style="34" min="3" max="3"/>
    <col width="16" customWidth="1" style="34" min="4" max="4"/>
    <col width="18" customWidth="1" style="34" min="5" max="6"/>
    <col width="20" customWidth="1" style="34" min="7" max="7"/>
    <col width="15" customWidth="1" style="34" min="8" max="8"/>
    <col width="13" customWidth="1" style="34" min="9" max="9"/>
    <col width="16" customWidth="1" style="34" min="10" max="10"/>
    <col width="18" customWidth="1" style="34" min="11" max="11"/>
    <col width="12" customWidth="1" style="34" min="12" max="12"/>
    <col width="16" customWidth="1" style="34" min="13" max="13"/>
    <col width="11" customWidth="1" style="34" min="14" max="14"/>
    <col width="14" customWidth="1" style="34" min="15" max="15"/>
    <col width="12" customWidth="1" style="34" min="16" max="17"/>
    <col width="14" customWidth="1" style="34" min="18" max="18"/>
    <col width="11" customWidth="1" style="34" min="19" max="21"/>
  </cols>
  <sheetData>
    <row r="1" ht="25.5" customHeight="1" s="35">
      <c r="A1" s="50" t="inlineStr">
        <is>
          <t>Page 1 — MARCOM Spending</t>
        </is>
      </c>
    </row>
    <row r="2" ht="15.75" customHeight="1" s="35">
      <c r="A2" s="51" t="inlineStr">
        <is>
          <t>Enter one row per Month per Brand. Columns N onward calculate automatically.</t>
        </is>
      </c>
    </row>
    <row r="3" ht="15" customHeight="1" s="35">
      <c r="A3" s="51" t="inlineStr">
        <is>
          <t>Legend: Yellow = enter data | Grey = auto-calculated (do not edit) | Green row = example (delete before sending)</t>
        </is>
      </c>
    </row>
    <row r="5" ht="31.5" customHeight="1" s="35">
      <c r="A5" s="47" t="inlineStr">
        <is>
          <t>Year</t>
        </is>
      </c>
      <c r="B5" s="47" t="inlineStr">
        <is>
          <t>Month</t>
        </is>
      </c>
      <c r="C5" s="47" t="inlineStr">
        <is>
          <t>Brand</t>
        </is>
      </c>
      <c r="D5" s="47" t="inlineStr">
        <is>
          <t>Total Marketing Spend (LYD)</t>
        </is>
      </c>
      <c r="E5" s="47" t="inlineStr">
        <is>
          <t>Revenue Attributed to Marketing (LYD)</t>
        </is>
      </c>
      <c r="F5" s="47" t="inlineStr">
        <is>
          <t>Total Company Revenue - Current (LYD)</t>
        </is>
      </c>
      <c r="G5" s="47" t="inlineStr">
        <is>
          <t>Total Company Revenue - Same Month Last Year (LYD)</t>
        </is>
      </c>
      <c r="H5" s="47" t="inlineStr">
        <is>
          <t>Budget Allocated (LYD)</t>
        </is>
      </c>
      <c r="I5" s="47" t="inlineStr">
        <is>
          <t># of New Customers</t>
        </is>
      </c>
      <c r="J5" s="47" t="inlineStr">
        <is>
          <t>Avg Sales per Invoice (LYD)</t>
        </is>
      </c>
      <c r="K5" s="47" t="inlineStr">
        <is>
          <t>Total Cost of Social Media Posts (LYD)</t>
        </is>
      </c>
      <c r="L5" s="47" t="inlineStr">
        <is>
          <t>Total Clicks (#)</t>
        </is>
      </c>
      <c r="M5" s="47" t="inlineStr">
        <is>
          <t>ROI Ratio (Revenue : Spend)</t>
        </is>
      </c>
      <c r="N5" s="47" t="inlineStr">
        <is>
          <t>ROI Status</t>
        </is>
      </c>
      <c r="O5" s="47" t="inlineStr">
        <is>
          <t>Budget Utilization %</t>
        </is>
      </c>
      <c r="P5" s="47" t="inlineStr">
        <is>
          <t>Brand Growth %</t>
        </is>
      </c>
      <c r="Q5" s="47" t="inlineStr">
        <is>
          <t>CAC (LYD)</t>
        </is>
      </c>
      <c r="R5" s="47" t="inlineStr">
        <is>
          <t>CAC % of Sales/Invoice</t>
        </is>
      </c>
      <c r="S5" s="47" t="inlineStr">
        <is>
          <t>CAC Status</t>
        </is>
      </c>
      <c r="T5" s="47" t="inlineStr">
        <is>
          <t>CPC (LYD)</t>
        </is>
      </c>
      <c r="U5" s="47" t="inlineStr">
        <is>
          <t>CPC Status</t>
        </is>
      </c>
    </row>
    <row r="6" ht="15" customHeight="1" s="35">
      <c r="A6" s="52" t="n">
        <v>2026</v>
      </c>
      <c r="B6" s="52" t="inlineStr">
        <is>
          <t>August</t>
        </is>
      </c>
      <c r="C6" s="52" t="inlineStr">
        <is>
          <t>Brand A</t>
        </is>
      </c>
      <c r="D6" s="52" t="n">
        <v>50000</v>
      </c>
      <c r="E6" s="52" t="n">
        <v>280000</v>
      </c>
      <c r="F6" s="52" t="n">
        <v>1200000</v>
      </c>
      <c r="G6" s="52" t="n">
        <v>1050000</v>
      </c>
      <c r="H6" s="52" t="n">
        <v>55000</v>
      </c>
      <c r="I6" s="52" t="n">
        <v>120</v>
      </c>
      <c r="J6" s="52" t="n">
        <v>900</v>
      </c>
      <c r="K6" s="52" t="n">
        <v>8000</v>
      </c>
      <c r="L6" s="52" t="n">
        <v>3500</v>
      </c>
      <c r="M6" s="53">
        <f>IFERROR(E6/D6,"")</f>
        <v/>
      </c>
      <c r="N6" s="52">
        <f>IFERROR(IF(ISNUMBER(M6),IF(M6&gt;5,"Green",IF(M6&gt;=3,"Yellow","Red")),""),"")</f>
        <v/>
      </c>
      <c r="O6" s="54">
        <f>IFERROR(D6/H6,"")</f>
        <v/>
      </c>
      <c r="P6" s="54">
        <f>IFERROR((F6-G6)/G6,"")</f>
        <v/>
      </c>
      <c r="Q6" s="55">
        <f>IFERROR(D6/I6,"")</f>
        <v/>
      </c>
      <c r="R6" s="54">
        <f>IFERROR(Q6/J6,"")</f>
        <v/>
      </c>
      <c r="S6" s="52">
        <f>IFERROR(IF(ISNUMBER(R6),IF(R6&lt;=0.03,"Green",IF(R6&lt;=0.05,"Yellow","Red")),""),"")</f>
        <v/>
      </c>
      <c r="T6" s="55">
        <f>IFERROR(K6/L6,"")</f>
        <v/>
      </c>
      <c r="U6" s="52">
        <f>IFERROR(IF(ISNUMBER(T6),IF(T6&lt;2.5,"Green",IF(T6&lt;=5,"Yellow","Red")),""),"")</f>
        <v/>
      </c>
    </row>
    <row r="7" ht="15" customHeight="1" s="35">
      <c r="A7" s="56" t="n"/>
      <c r="B7" s="56" t="n"/>
      <c r="C7" s="56" t="n"/>
      <c r="D7" s="56" t="n"/>
      <c r="E7" s="56" t="n"/>
      <c r="F7" s="56" t="n"/>
      <c r="G7" s="56" t="n"/>
      <c r="H7" s="56" t="n"/>
      <c r="I7" s="56" t="n"/>
      <c r="J7" s="56" t="n"/>
      <c r="K7" s="56" t="n"/>
      <c r="L7" s="56" t="n"/>
      <c r="M7" s="57">
        <f>IFERROR(E7/D7,"")</f>
        <v/>
      </c>
      <c r="N7" s="58">
        <f>IFERROR(IF(ISNUMBER(M7),IF(M7&gt;5,"Green",IF(M7&gt;=3,"Yellow","Red")),""),"")</f>
        <v/>
      </c>
      <c r="O7" s="59">
        <f>IFERROR(D7/H7,"")</f>
        <v/>
      </c>
      <c r="P7" s="59">
        <f>IFERROR((F7-G7)/G7,"")</f>
        <v/>
      </c>
      <c r="Q7" s="60">
        <f>IFERROR(D7/I7,"")</f>
        <v/>
      </c>
      <c r="R7" s="59">
        <f>IFERROR(Q7/J7,"")</f>
        <v/>
      </c>
      <c r="S7" s="58">
        <f>IFERROR(IF(ISNUMBER(R7),IF(R7&lt;=0.03,"Green",IF(R7&lt;=0.05,"Yellow","Red")),""),"")</f>
        <v/>
      </c>
      <c r="T7" s="60">
        <f>IFERROR(K7/L7,"")</f>
        <v/>
      </c>
      <c r="U7" s="58">
        <f>IFERROR(IF(ISNUMBER(T7),IF(T7&lt;2.5,"Green",IF(T7&lt;=5,"Yellow","Red")),""),"")</f>
        <v/>
      </c>
    </row>
    <row r="8" ht="15" customHeight="1" s="35">
      <c r="A8" s="56" t="n"/>
      <c r="B8" s="56" t="n"/>
      <c r="C8" s="56" t="n"/>
      <c r="D8" s="56" t="n"/>
      <c r="E8" s="56" t="n"/>
      <c r="F8" s="56" t="n"/>
      <c r="G8" s="56" t="n"/>
      <c r="H8" s="56" t="n"/>
      <c r="I8" s="56" t="n"/>
      <c r="J8" s="56" t="n"/>
      <c r="K8" s="56" t="n"/>
      <c r="L8" s="56" t="n"/>
      <c r="M8" s="57">
        <f>IFERROR(E8/D8,"")</f>
        <v/>
      </c>
      <c r="N8" s="58">
        <f>IFERROR(IF(ISNUMBER(M8),IF(M8&gt;5,"Green",IF(M8&gt;=3,"Yellow","Red")),""),"")</f>
        <v/>
      </c>
      <c r="O8" s="59">
        <f>IFERROR(D8/H8,"")</f>
        <v/>
      </c>
      <c r="P8" s="59">
        <f>IFERROR((F8-G8)/G8,"")</f>
        <v/>
      </c>
      <c r="Q8" s="60">
        <f>IFERROR(D8/I8,"")</f>
        <v/>
      </c>
      <c r="R8" s="59">
        <f>IFERROR(Q8/J8,"")</f>
        <v/>
      </c>
      <c r="S8" s="58">
        <f>IFERROR(IF(ISNUMBER(R8),IF(R8&lt;=0.03,"Green",IF(R8&lt;=0.05,"Yellow","Red")),""),"")</f>
        <v/>
      </c>
      <c r="T8" s="60">
        <f>IFERROR(K8/L8,"")</f>
        <v/>
      </c>
      <c r="U8" s="58">
        <f>IFERROR(IF(ISNUMBER(T8),IF(T8&lt;2.5,"Green",IF(T8&lt;=5,"Yellow","Red")),""),"")</f>
        <v/>
      </c>
    </row>
    <row r="9" ht="15" customHeight="1" s="35">
      <c r="A9" s="56" t="n"/>
      <c r="B9" s="56" t="n"/>
      <c r="C9" s="56" t="n"/>
      <c r="D9" s="56" t="n"/>
      <c r="E9" s="56" t="n"/>
      <c r="F9" s="56" t="n"/>
      <c r="G9" s="56" t="n"/>
      <c r="H9" s="56" t="n"/>
      <c r="I9" s="56" t="n"/>
      <c r="J9" s="56" t="n"/>
      <c r="K9" s="56" t="n"/>
      <c r="L9" s="56" t="n"/>
      <c r="M9" s="57">
        <f>IFERROR(E9/D9,"")</f>
        <v/>
      </c>
      <c r="N9" s="58">
        <f>IFERROR(IF(ISNUMBER(M9),IF(M9&gt;5,"Green",IF(M9&gt;=3,"Yellow","Red")),""),"")</f>
        <v/>
      </c>
      <c r="O9" s="59">
        <f>IFERROR(D9/H9,"")</f>
        <v/>
      </c>
      <c r="P9" s="59">
        <f>IFERROR((F9-G9)/G9,"")</f>
        <v/>
      </c>
      <c r="Q9" s="60">
        <f>IFERROR(D9/I9,"")</f>
        <v/>
      </c>
      <c r="R9" s="59">
        <f>IFERROR(Q9/J9,"")</f>
        <v/>
      </c>
      <c r="S9" s="58">
        <f>IFERROR(IF(ISNUMBER(R9),IF(R9&lt;=0.03,"Green",IF(R9&lt;=0.05,"Yellow","Red")),""),"")</f>
        <v/>
      </c>
      <c r="T9" s="60">
        <f>IFERROR(K9/L9,"")</f>
        <v/>
      </c>
      <c r="U9" s="58">
        <f>IFERROR(IF(ISNUMBER(T9),IF(T9&lt;2.5,"Green",IF(T9&lt;=5,"Yellow","Red")),""),"")</f>
        <v/>
      </c>
    </row>
    <row r="10" ht="15" customHeight="1" s="35">
      <c r="A10" s="56" t="n"/>
      <c r="B10" s="56" t="n"/>
      <c r="C10" s="56" t="n"/>
      <c r="D10" s="56" t="n"/>
      <c r="E10" s="56" t="n"/>
      <c r="F10" s="56" t="n"/>
      <c r="G10" s="56" t="n"/>
      <c r="H10" s="56" t="n"/>
      <c r="I10" s="56" t="n"/>
      <c r="J10" s="56" t="n"/>
      <c r="K10" s="56" t="n"/>
      <c r="L10" s="56" t="n"/>
      <c r="M10" s="57">
        <f>IFERROR(E10/D10,"")</f>
        <v/>
      </c>
      <c r="N10" s="58">
        <f>IFERROR(IF(ISNUMBER(M10),IF(M10&gt;5,"Green",IF(M10&gt;=3,"Yellow","Red")),""),"")</f>
        <v/>
      </c>
      <c r="O10" s="59">
        <f>IFERROR(D10/H10,"")</f>
        <v/>
      </c>
      <c r="P10" s="59">
        <f>IFERROR((F10-G10)/G10,"")</f>
        <v/>
      </c>
      <c r="Q10" s="60">
        <f>IFERROR(D10/I10,"")</f>
        <v/>
      </c>
      <c r="R10" s="59">
        <f>IFERROR(Q10/J10,"")</f>
        <v/>
      </c>
      <c r="S10" s="58">
        <f>IFERROR(IF(ISNUMBER(R10),IF(R10&lt;=0.03,"Green",IF(R10&lt;=0.05,"Yellow","Red")),""),"")</f>
        <v/>
      </c>
      <c r="T10" s="60">
        <f>IFERROR(K10/L10,"")</f>
        <v/>
      </c>
      <c r="U10" s="58">
        <f>IFERROR(IF(ISNUMBER(T10),IF(T10&lt;2.5,"Green",IF(T10&lt;=5,"Yellow","Red")),""),"")</f>
        <v/>
      </c>
    </row>
    <row r="11" ht="15" customHeight="1" s="35">
      <c r="A11" s="56" t="n"/>
      <c r="B11" s="56" t="n"/>
      <c r="C11" s="56" t="n"/>
      <c r="D11" s="56" t="n"/>
      <c r="E11" s="56" t="n"/>
      <c r="F11" s="56" t="n"/>
      <c r="G11" s="56" t="n"/>
      <c r="H11" s="56" t="n"/>
      <c r="I11" s="56" t="n"/>
      <c r="J11" s="56" t="n"/>
      <c r="K11" s="56" t="n"/>
      <c r="L11" s="56" t="n"/>
      <c r="M11" s="57">
        <f>IFERROR(E11/D11,"")</f>
        <v/>
      </c>
      <c r="N11" s="58">
        <f>IFERROR(IF(ISNUMBER(M11),IF(M11&gt;5,"Green",IF(M11&gt;=3,"Yellow","Red")),""),"")</f>
        <v/>
      </c>
      <c r="O11" s="59">
        <f>IFERROR(D11/H11,"")</f>
        <v/>
      </c>
      <c r="P11" s="59">
        <f>IFERROR((F11-G11)/G11,"")</f>
        <v/>
      </c>
      <c r="Q11" s="60">
        <f>IFERROR(D11/I11,"")</f>
        <v/>
      </c>
      <c r="R11" s="59">
        <f>IFERROR(Q11/J11,"")</f>
        <v/>
      </c>
      <c r="S11" s="58">
        <f>IFERROR(IF(ISNUMBER(R11),IF(R11&lt;=0.03,"Green",IF(R11&lt;=0.05,"Yellow","Red")),""),"")</f>
        <v/>
      </c>
      <c r="T11" s="60">
        <f>IFERROR(K11/L11,"")</f>
        <v/>
      </c>
      <c r="U11" s="58">
        <f>IFERROR(IF(ISNUMBER(T11),IF(T11&lt;2.5,"Green",IF(T11&lt;=5,"Yellow","Red")),""),"")</f>
        <v/>
      </c>
    </row>
    <row r="12" ht="15" customHeight="1" s="35">
      <c r="A12" s="56" t="n"/>
      <c r="B12" s="56" t="n"/>
      <c r="C12" s="56" t="n"/>
      <c r="D12" s="56" t="n"/>
      <c r="E12" s="56" t="n"/>
      <c r="F12" s="56" t="n"/>
      <c r="G12" s="56" t="n"/>
      <c r="H12" s="56" t="n"/>
      <c r="I12" s="56" t="n"/>
      <c r="J12" s="56" t="n"/>
      <c r="K12" s="56" t="n"/>
      <c r="L12" s="56" t="n"/>
      <c r="M12" s="57">
        <f>IFERROR(E12/D12,"")</f>
        <v/>
      </c>
      <c r="N12" s="58">
        <f>IFERROR(IF(ISNUMBER(M12),IF(M12&gt;5,"Green",IF(M12&gt;=3,"Yellow","Red")),""),"")</f>
        <v/>
      </c>
      <c r="O12" s="59">
        <f>IFERROR(D12/H12,"")</f>
        <v/>
      </c>
      <c r="P12" s="59">
        <f>IFERROR((F12-G12)/G12,"")</f>
        <v/>
      </c>
      <c r="Q12" s="60">
        <f>IFERROR(D12/I12,"")</f>
        <v/>
      </c>
      <c r="R12" s="59">
        <f>IFERROR(Q12/J12,"")</f>
        <v/>
      </c>
      <c r="S12" s="58">
        <f>IFERROR(IF(ISNUMBER(R12),IF(R12&lt;=0.03,"Green",IF(R12&lt;=0.05,"Yellow","Red")),""),"")</f>
        <v/>
      </c>
      <c r="T12" s="60">
        <f>IFERROR(K12/L12,"")</f>
        <v/>
      </c>
      <c r="U12" s="58">
        <f>IFERROR(IF(ISNUMBER(T12),IF(T12&lt;2.5,"Green",IF(T12&lt;=5,"Yellow","Red")),""),"")</f>
        <v/>
      </c>
    </row>
    <row r="13" ht="15" customHeight="1" s="35">
      <c r="A13" s="56" t="n"/>
      <c r="B13" s="56" t="n"/>
      <c r="C13" s="56" t="n"/>
      <c r="D13" s="56" t="n"/>
      <c r="E13" s="56" t="n"/>
      <c r="F13" s="56" t="n"/>
      <c r="G13" s="56" t="n"/>
      <c r="H13" s="56" t="n"/>
      <c r="I13" s="56" t="n"/>
      <c r="J13" s="56" t="n"/>
      <c r="K13" s="56" t="n"/>
      <c r="L13" s="56" t="n"/>
      <c r="M13" s="57">
        <f>IFERROR(E13/D13,"")</f>
        <v/>
      </c>
      <c r="N13" s="58">
        <f>IFERROR(IF(ISNUMBER(M13),IF(M13&gt;5,"Green",IF(M13&gt;=3,"Yellow","Red")),""),"")</f>
        <v/>
      </c>
      <c r="O13" s="59">
        <f>IFERROR(D13/H13,"")</f>
        <v/>
      </c>
      <c r="P13" s="59">
        <f>IFERROR((F13-G13)/G13,"")</f>
        <v/>
      </c>
      <c r="Q13" s="60">
        <f>IFERROR(D13/I13,"")</f>
        <v/>
      </c>
      <c r="R13" s="59">
        <f>IFERROR(Q13/J13,"")</f>
        <v/>
      </c>
      <c r="S13" s="58">
        <f>IFERROR(IF(ISNUMBER(R13),IF(R13&lt;=0.03,"Green",IF(R13&lt;=0.05,"Yellow","Red")),""),"")</f>
        <v/>
      </c>
      <c r="T13" s="60">
        <f>IFERROR(K13/L13,"")</f>
        <v/>
      </c>
      <c r="U13" s="58">
        <f>IFERROR(IF(ISNUMBER(T13),IF(T13&lt;2.5,"Green",IF(T13&lt;=5,"Yellow","Red")),""),"")</f>
        <v/>
      </c>
    </row>
    <row r="14" ht="15" customHeight="1" s="35">
      <c r="A14" s="56" t="n"/>
      <c r="B14" s="56" t="n"/>
      <c r="C14" s="56" t="n"/>
      <c r="D14" s="56" t="n"/>
      <c r="E14" s="56" t="n"/>
      <c r="F14" s="56" t="n"/>
      <c r="G14" s="56" t="n"/>
      <c r="H14" s="56" t="n"/>
      <c r="I14" s="56" t="n"/>
      <c r="J14" s="56" t="n"/>
      <c r="K14" s="56" t="n"/>
      <c r="L14" s="56" t="n"/>
      <c r="M14" s="57">
        <f>IFERROR(E14/D14,"")</f>
        <v/>
      </c>
      <c r="N14" s="58">
        <f>IFERROR(IF(ISNUMBER(M14),IF(M14&gt;5,"Green",IF(M14&gt;=3,"Yellow","Red")),""),"")</f>
        <v/>
      </c>
      <c r="O14" s="59">
        <f>IFERROR(D14/H14,"")</f>
        <v/>
      </c>
      <c r="P14" s="59">
        <f>IFERROR((F14-G14)/G14,"")</f>
        <v/>
      </c>
      <c r="Q14" s="60">
        <f>IFERROR(D14/I14,"")</f>
        <v/>
      </c>
      <c r="R14" s="59">
        <f>IFERROR(Q14/J14,"")</f>
        <v/>
      </c>
      <c r="S14" s="58">
        <f>IFERROR(IF(ISNUMBER(R14),IF(R14&lt;=0.03,"Green",IF(R14&lt;=0.05,"Yellow","Red")),""),"")</f>
        <v/>
      </c>
      <c r="T14" s="60">
        <f>IFERROR(K14/L14,"")</f>
        <v/>
      </c>
      <c r="U14" s="58">
        <f>IFERROR(IF(ISNUMBER(T14),IF(T14&lt;2.5,"Green",IF(T14&lt;=5,"Yellow","Red")),""),"")</f>
        <v/>
      </c>
    </row>
    <row r="15" ht="15" customHeight="1" s="35">
      <c r="A15" s="56" t="n"/>
      <c r="B15" s="56" t="n"/>
      <c r="C15" s="56" t="n"/>
      <c r="D15" s="56" t="n"/>
      <c r="E15" s="56" t="n"/>
      <c r="F15" s="56" t="n"/>
      <c r="G15" s="56" t="n"/>
      <c r="H15" s="56" t="n"/>
      <c r="I15" s="56" t="n"/>
      <c r="J15" s="56" t="n"/>
      <c r="K15" s="56" t="n"/>
      <c r="L15" s="56" t="n"/>
      <c r="M15" s="57">
        <f>IFERROR(E15/D15,"")</f>
        <v/>
      </c>
      <c r="N15" s="58">
        <f>IFERROR(IF(ISNUMBER(M15),IF(M15&gt;5,"Green",IF(M15&gt;=3,"Yellow","Red")),""),"")</f>
        <v/>
      </c>
      <c r="O15" s="59">
        <f>IFERROR(D15/H15,"")</f>
        <v/>
      </c>
      <c r="P15" s="59">
        <f>IFERROR((F15-G15)/G15,"")</f>
        <v/>
      </c>
      <c r="Q15" s="60">
        <f>IFERROR(D15/I15,"")</f>
        <v/>
      </c>
      <c r="R15" s="59">
        <f>IFERROR(Q15/J15,"")</f>
        <v/>
      </c>
      <c r="S15" s="58">
        <f>IFERROR(IF(ISNUMBER(R15),IF(R15&lt;=0.03,"Green",IF(R15&lt;=0.05,"Yellow","Red")),""),"")</f>
        <v/>
      </c>
      <c r="T15" s="60">
        <f>IFERROR(K15/L15,"")</f>
        <v/>
      </c>
      <c r="U15" s="58">
        <f>IFERROR(IF(ISNUMBER(T15),IF(T15&lt;2.5,"Green",IF(T15&lt;=5,"Yellow","Red")),""),"")</f>
        <v/>
      </c>
    </row>
    <row r="16" ht="15" customHeight="1" s="35">
      <c r="A16" s="56" t="n"/>
      <c r="B16" s="56" t="n"/>
      <c r="C16" s="56" t="n"/>
      <c r="D16" s="56" t="n"/>
      <c r="E16" s="56" t="n"/>
      <c r="F16" s="56" t="n"/>
      <c r="G16" s="56" t="n"/>
      <c r="H16" s="56" t="n"/>
      <c r="I16" s="56" t="n"/>
      <c r="J16" s="56" t="n"/>
      <c r="K16" s="56" t="n"/>
      <c r="L16" s="56" t="n"/>
      <c r="M16" s="57">
        <f>IFERROR(E16/D16,"")</f>
        <v/>
      </c>
      <c r="N16" s="58">
        <f>IFERROR(IF(ISNUMBER(M16),IF(M16&gt;5,"Green",IF(M16&gt;=3,"Yellow","Red")),""),"")</f>
        <v/>
      </c>
      <c r="O16" s="59">
        <f>IFERROR(D16/H16,"")</f>
        <v/>
      </c>
      <c r="P16" s="59">
        <f>IFERROR((F16-G16)/G16,"")</f>
        <v/>
      </c>
      <c r="Q16" s="60">
        <f>IFERROR(D16/I16,"")</f>
        <v/>
      </c>
      <c r="R16" s="59">
        <f>IFERROR(Q16/J16,"")</f>
        <v/>
      </c>
      <c r="S16" s="58">
        <f>IFERROR(IF(ISNUMBER(R16),IF(R16&lt;=0.03,"Green",IF(R16&lt;=0.05,"Yellow","Red")),""),"")</f>
        <v/>
      </c>
      <c r="T16" s="60">
        <f>IFERROR(K16/L16,"")</f>
        <v/>
      </c>
      <c r="U16" s="58">
        <f>IFERROR(IF(ISNUMBER(T16),IF(T16&lt;2.5,"Green",IF(T16&lt;=5,"Yellow","Red")),""),"")</f>
        <v/>
      </c>
    </row>
    <row r="17" ht="15" customHeight="1" s="35">
      <c r="A17" s="56" t="n"/>
      <c r="B17" s="56" t="n"/>
      <c r="C17" s="56" t="n"/>
      <c r="D17" s="56" t="n"/>
      <c r="E17" s="56" t="n"/>
      <c r="F17" s="56" t="n"/>
      <c r="G17" s="56" t="n"/>
      <c r="H17" s="56" t="n"/>
      <c r="I17" s="56" t="n"/>
      <c r="J17" s="56" t="n"/>
      <c r="K17" s="56" t="n"/>
      <c r="L17" s="56" t="n"/>
      <c r="M17" s="57">
        <f>IFERROR(E17/D17,"")</f>
        <v/>
      </c>
      <c r="N17" s="58">
        <f>IFERROR(IF(ISNUMBER(M17),IF(M17&gt;5,"Green",IF(M17&gt;=3,"Yellow","Red")),""),"")</f>
        <v/>
      </c>
      <c r="O17" s="59">
        <f>IFERROR(D17/H17,"")</f>
        <v/>
      </c>
      <c r="P17" s="59">
        <f>IFERROR((F17-G17)/G17,"")</f>
        <v/>
      </c>
      <c r="Q17" s="60">
        <f>IFERROR(D17/I17,"")</f>
        <v/>
      </c>
      <c r="R17" s="59">
        <f>IFERROR(Q17/J17,"")</f>
        <v/>
      </c>
      <c r="S17" s="58">
        <f>IFERROR(IF(ISNUMBER(R17),IF(R17&lt;=0.03,"Green",IF(R17&lt;=0.05,"Yellow","Red")),""),"")</f>
        <v/>
      </c>
      <c r="T17" s="60">
        <f>IFERROR(K17/L17,"")</f>
        <v/>
      </c>
      <c r="U17" s="58">
        <f>IFERROR(IF(ISNUMBER(T17),IF(T17&lt;2.5,"Green",IF(T17&lt;=5,"Yellow","Red")),""),"")</f>
        <v/>
      </c>
    </row>
    <row r="18" ht="15" customHeight="1" s="35">
      <c r="A18" s="56" t="n"/>
      <c r="B18" s="56" t="n"/>
      <c r="C18" s="56" t="n"/>
      <c r="D18" s="56" t="n"/>
      <c r="E18" s="56" t="n"/>
      <c r="F18" s="56" t="n"/>
      <c r="G18" s="56" t="n"/>
      <c r="H18" s="56" t="n"/>
      <c r="I18" s="56" t="n"/>
      <c r="J18" s="56" t="n"/>
      <c r="K18" s="56" t="n"/>
      <c r="L18" s="56" t="n"/>
      <c r="M18" s="57">
        <f>IFERROR(E18/D18,"")</f>
        <v/>
      </c>
      <c r="N18" s="58">
        <f>IFERROR(IF(ISNUMBER(M18),IF(M18&gt;5,"Green",IF(M18&gt;=3,"Yellow","Red")),""),"")</f>
        <v/>
      </c>
      <c r="O18" s="59">
        <f>IFERROR(D18/H18,"")</f>
        <v/>
      </c>
      <c r="P18" s="59">
        <f>IFERROR((F18-G18)/G18,"")</f>
        <v/>
      </c>
      <c r="Q18" s="60">
        <f>IFERROR(D18/I18,"")</f>
        <v/>
      </c>
      <c r="R18" s="59">
        <f>IFERROR(Q18/J18,"")</f>
        <v/>
      </c>
      <c r="S18" s="58">
        <f>IFERROR(IF(ISNUMBER(R18),IF(R18&lt;=0.03,"Green",IF(R18&lt;=0.05,"Yellow","Red")),""),"")</f>
        <v/>
      </c>
      <c r="T18" s="60">
        <f>IFERROR(K18/L18,"")</f>
        <v/>
      </c>
      <c r="U18" s="58">
        <f>IFERROR(IF(ISNUMBER(T18),IF(T18&lt;2.5,"Green",IF(T18&lt;=5,"Yellow","Red")),""),"")</f>
        <v/>
      </c>
    </row>
    <row r="19" ht="15" customHeight="1" s="35">
      <c r="A19" s="56" t="n"/>
      <c r="B19" s="56" t="n"/>
      <c r="C19" s="56" t="n"/>
      <c r="D19" s="56" t="n"/>
      <c r="E19" s="56" t="n"/>
      <c r="F19" s="56" t="n"/>
      <c r="G19" s="56" t="n"/>
      <c r="H19" s="56" t="n"/>
      <c r="I19" s="56" t="n"/>
      <c r="J19" s="56" t="n"/>
      <c r="K19" s="56" t="n"/>
      <c r="L19" s="56" t="n"/>
      <c r="M19" s="57">
        <f>IFERROR(E19/D19,"")</f>
        <v/>
      </c>
      <c r="N19" s="58">
        <f>IFERROR(IF(ISNUMBER(M19),IF(M19&gt;5,"Green",IF(M19&gt;=3,"Yellow","Red")),""),"")</f>
        <v/>
      </c>
      <c r="O19" s="59">
        <f>IFERROR(D19/H19,"")</f>
        <v/>
      </c>
      <c r="P19" s="59">
        <f>IFERROR((F19-G19)/G19,"")</f>
        <v/>
      </c>
      <c r="Q19" s="60">
        <f>IFERROR(D19/I19,"")</f>
        <v/>
      </c>
      <c r="R19" s="59">
        <f>IFERROR(Q19/J19,"")</f>
        <v/>
      </c>
      <c r="S19" s="58">
        <f>IFERROR(IF(ISNUMBER(R19),IF(R19&lt;=0.03,"Green",IF(R19&lt;=0.05,"Yellow","Red")),""),"")</f>
        <v/>
      </c>
      <c r="T19" s="60">
        <f>IFERROR(K19/L19,"")</f>
        <v/>
      </c>
      <c r="U19" s="58">
        <f>IFERROR(IF(ISNUMBER(T19),IF(T19&lt;2.5,"Green",IF(T19&lt;=5,"Yellow","Red")),""),"")</f>
        <v/>
      </c>
    </row>
    <row r="20" ht="15" customHeight="1" s="35">
      <c r="A20" s="56" t="n"/>
      <c r="B20" s="56" t="n"/>
      <c r="C20" s="56" t="n"/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7">
        <f>IFERROR(E20/D20,"")</f>
        <v/>
      </c>
      <c r="N20" s="58">
        <f>IFERROR(IF(ISNUMBER(M20),IF(M20&gt;5,"Green",IF(M20&gt;=3,"Yellow","Red")),""),"")</f>
        <v/>
      </c>
      <c r="O20" s="59">
        <f>IFERROR(D20/H20,"")</f>
        <v/>
      </c>
      <c r="P20" s="59">
        <f>IFERROR((F20-G20)/G20,"")</f>
        <v/>
      </c>
      <c r="Q20" s="60">
        <f>IFERROR(D20/I20,"")</f>
        <v/>
      </c>
      <c r="R20" s="59">
        <f>IFERROR(Q20/J20,"")</f>
        <v/>
      </c>
      <c r="S20" s="58">
        <f>IFERROR(IF(ISNUMBER(R20),IF(R20&lt;=0.03,"Green",IF(R20&lt;=0.05,"Yellow","Red")),""),"")</f>
        <v/>
      </c>
      <c r="T20" s="60">
        <f>IFERROR(K20/L20,"")</f>
        <v/>
      </c>
      <c r="U20" s="58">
        <f>IFERROR(IF(ISNUMBER(T20),IF(T20&lt;2.5,"Green",IF(T20&lt;=5,"Yellow","Red")),""),"")</f>
        <v/>
      </c>
    </row>
    <row r="21" ht="15" customHeight="1" s="35">
      <c r="A21" s="56" t="n"/>
      <c r="B21" s="56" t="n"/>
      <c r="C21" s="56" t="n"/>
      <c r="D21" s="56" t="n"/>
      <c r="E21" s="56" t="n"/>
      <c r="F21" s="56" t="n"/>
      <c r="G21" s="56" t="n"/>
      <c r="H21" s="56" t="n"/>
      <c r="I21" s="56" t="n"/>
      <c r="J21" s="56" t="n"/>
      <c r="K21" s="56" t="n"/>
      <c r="L21" s="56" t="n"/>
      <c r="M21" s="57">
        <f>IFERROR(E21/D21,"")</f>
        <v/>
      </c>
      <c r="N21" s="58">
        <f>IFERROR(IF(ISNUMBER(M21),IF(M21&gt;5,"Green",IF(M21&gt;=3,"Yellow","Red")),""),"")</f>
        <v/>
      </c>
      <c r="O21" s="59">
        <f>IFERROR(D21/H21,"")</f>
        <v/>
      </c>
      <c r="P21" s="59">
        <f>IFERROR((F21-G21)/G21,"")</f>
        <v/>
      </c>
      <c r="Q21" s="60">
        <f>IFERROR(D21/I21,"")</f>
        <v/>
      </c>
      <c r="R21" s="59">
        <f>IFERROR(Q21/J21,"")</f>
        <v/>
      </c>
      <c r="S21" s="58">
        <f>IFERROR(IF(ISNUMBER(R21),IF(R21&lt;=0.03,"Green",IF(R21&lt;=0.05,"Yellow","Red")),""),"")</f>
        <v/>
      </c>
      <c r="T21" s="60">
        <f>IFERROR(K21/L21,"")</f>
        <v/>
      </c>
      <c r="U21" s="58">
        <f>IFERROR(IF(ISNUMBER(T21),IF(T21&lt;2.5,"Green",IF(T21&lt;=5,"Yellow","Red")),""),"")</f>
        <v/>
      </c>
    </row>
    <row r="22" ht="15" customHeight="1" s="35">
      <c r="A22" s="56" t="n"/>
      <c r="B22" s="56" t="n"/>
      <c r="C22" s="56" t="n"/>
      <c r="D22" s="56" t="n"/>
      <c r="E22" s="56" t="n"/>
      <c r="F22" s="56" t="n"/>
      <c r="G22" s="56" t="n"/>
      <c r="H22" s="56" t="n"/>
      <c r="I22" s="56" t="n"/>
      <c r="J22" s="56" t="n"/>
      <c r="K22" s="56" t="n"/>
      <c r="L22" s="56" t="n"/>
      <c r="M22" s="57">
        <f>IFERROR(E22/D22,"")</f>
        <v/>
      </c>
      <c r="N22" s="58">
        <f>IFERROR(IF(ISNUMBER(M22),IF(M22&gt;5,"Green",IF(M22&gt;=3,"Yellow","Red")),""),"")</f>
        <v/>
      </c>
      <c r="O22" s="59">
        <f>IFERROR(D22/H22,"")</f>
        <v/>
      </c>
      <c r="P22" s="59">
        <f>IFERROR((F22-G22)/G22,"")</f>
        <v/>
      </c>
      <c r="Q22" s="60">
        <f>IFERROR(D22/I22,"")</f>
        <v/>
      </c>
      <c r="R22" s="59">
        <f>IFERROR(Q22/J22,"")</f>
        <v/>
      </c>
      <c r="S22" s="58">
        <f>IFERROR(IF(ISNUMBER(R22),IF(R22&lt;=0.03,"Green",IF(R22&lt;=0.05,"Yellow","Red")),""),"")</f>
        <v/>
      </c>
      <c r="T22" s="60">
        <f>IFERROR(K22/L22,"")</f>
        <v/>
      </c>
      <c r="U22" s="58">
        <f>IFERROR(IF(ISNUMBER(T22),IF(T22&lt;2.5,"Green",IF(T22&lt;=5,"Yellow","Red")),""),"")</f>
        <v/>
      </c>
    </row>
    <row r="23" ht="15" customHeight="1" s="35">
      <c r="A23" s="56" t="n"/>
      <c r="B23" s="56" t="n"/>
      <c r="C23" s="56" t="n"/>
      <c r="D23" s="56" t="n"/>
      <c r="E23" s="56" t="n"/>
      <c r="F23" s="56" t="n"/>
      <c r="G23" s="56" t="n"/>
      <c r="H23" s="56" t="n"/>
      <c r="I23" s="56" t="n"/>
      <c r="J23" s="56" t="n"/>
      <c r="K23" s="56" t="n"/>
      <c r="L23" s="56" t="n"/>
      <c r="M23" s="57">
        <f>IFERROR(E23/D23,"")</f>
        <v/>
      </c>
      <c r="N23" s="58">
        <f>IFERROR(IF(ISNUMBER(M23),IF(M23&gt;5,"Green",IF(M23&gt;=3,"Yellow","Red")),""),"")</f>
        <v/>
      </c>
      <c r="O23" s="59">
        <f>IFERROR(D23/H23,"")</f>
        <v/>
      </c>
      <c r="P23" s="59">
        <f>IFERROR((F23-G23)/G23,"")</f>
        <v/>
      </c>
      <c r="Q23" s="60">
        <f>IFERROR(D23/I23,"")</f>
        <v/>
      </c>
      <c r="R23" s="59">
        <f>IFERROR(Q23/J23,"")</f>
        <v/>
      </c>
      <c r="S23" s="58">
        <f>IFERROR(IF(ISNUMBER(R23),IF(R23&lt;=0.03,"Green",IF(R23&lt;=0.05,"Yellow","Red")),""),"")</f>
        <v/>
      </c>
      <c r="T23" s="60">
        <f>IFERROR(K23/L23,"")</f>
        <v/>
      </c>
      <c r="U23" s="58">
        <f>IFERROR(IF(ISNUMBER(T23),IF(T23&lt;2.5,"Green",IF(T23&lt;=5,"Yellow","Red")),""),"")</f>
        <v/>
      </c>
    </row>
    <row r="24" ht="15" customHeight="1" s="35">
      <c r="A24" s="56" t="n"/>
      <c r="B24" s="56" t="n"/>
      <c r="C24" s="56" t="n"/>
      <c r="D24" s="56" t="n"/>
      <c r="E24" s="56" t="n"/>
      <c r="F24" s="56" t="n"/>
      <c r="G24" s="56" t="n"/>
      <c r="H24" s="56" t="n"/>
      <c r="I24" s="56" t="n"/>
      <c r="J24" s="56" t="n"/>
      <c r="K24" s="56" t="n"/>
      <c r="L24" s="56" t="n"/>
      <c r="M24" s="57">
        <f>IFERROR(E24/D24,"")</f>
        <v/>
      </c>
      <c r="N24" s="58">
        <f>IFERROR(IF(ISNUMBER(M24),IF(M24&gt;5,"Green",IF(M24&gt;=3,"Yellow","Red")),""),"")</f>
        <v/>
      </c>
      <c r="O24" s="59">
        <f>IFERROR(D24/H24,"")</f>
        <v/>
      </c>
      <c r="P24" s="59">
        <f>IFERROR((F24-G24)/G24,"")</f>
        <v/>
      </c>
      <c r="Q24" s="60">
        <f>IFERROR(D24/I24,"")</f>
        <v/>
      </c>
      <c r="R24" s="59">
        <f>IFERROR(Q24/J24,"")</f>
        <v/>
      </c>
      <c r="S24" s="58">
        <f>IFERROR(IF(ISNUMBER(R24),IF(R24&lt;=0.03,"Green",IF(R24&lt;=0.05,"Yellow","Red")),""),"")</f>
        <v/>
      </c>
      <c r="T24" s="60">
        <f>IFERROR(K24/L24,"")</f>
        <v/>
      </c>
      <c r="U24" s="58">
        <f>IFERROR(IF(ISNUMBER(T24),IF(T24&lt;2.5,"Green",IF(T24&lt;=5,"Yellow","Red")),""),"")</f>
        <v/>
      </c>
    </row>
    <row r="25" ht="15" customHeight="1" s="35">
      <c r="A25" s="56" t="n"/>
      <c r="B25" s="56" t="n"/>
      <c r="C25" s="56" t="n"/>
      <c r="D25" s="56" t="n"/>
      <c r="E25" s="56" t="n"/>
      <c r="F25" s="56" t="n"/>
      <c r="G25" s="56" t="n"/>
      <c r="H25" s="56" t="n"/>
      <c r="I25" s="56" t="n"/>
      <c r="J25" s="56" t="n"/>
      <c r="K25" s="56" t="n"/>
      <c r="L25" s="56" t="n"/>
      <c r="M25" s="57">
        <f>IFERROR(E25/D25,"")</f>
        <v/>
      </c>
      <c r="N25" s="58">
        <f>IFERROR(IF(ISNUMBER(M25),IF(M25&gt;5,"Green",IF(M25&gt;=3,"Yellow","Red")),""),"")</f>
        <v/>
      </c>
      <c r="O25" s="59">
        <f>IFERROR(D25/H25,"")</f>
        <v/>
      </c>
      <c r="P25" s="59">
        <f>IFERROR((F25-G25)/G25,"")</f>
        <v/>
      </c>
      <c r="Q25" s="60">
        <f>IFERROR(D25/I25,"")</f>
        <v/>
      </c>
      <c r="R25" s="59">
        <f>IFERROR(Q25/J25,"")</f>
        <v/>
      </c>
      <c r="S25" s="58">
        <f>IFERROR(IF(ISNUMBER(R25),IF(R25&lt;=0.03,"Green",IF(R25&lt;=0.05,"Yellow","Red")),""),"")</f>
        <v/>
      </c>
      <c r="T25" s="60">
        <f>IFERROR(K25/L25,"")</f>
        <v/>
      </c>
      <c r="U25" s="58">
        <f>IFERROR(IF(ISNUMBER(T25),IF(T25&lt;2.5,"Green",IF(T25&lt;=5,"Yellow","Red")),""),"")</f>
        <v/>
      </c>
    </row>
    <row r="26" ht="15" customHeight="1" s="35">
      <c r="A26" s="56" t="n"/>
      <c r="B26" s="56" t="n"/>
      <c r="C26" s="56" t="n"/>
      <c r="D26" s="56" t="n"/>
      <c r="E26" s="56" t="n"/>
      <c r="F26" s="56" t="n"/>
      <c r="G26" s="56" t="n"/>
      <c r="H26" s="56" t="n"/>
      <c r="I26" s="56" t="n"/>
      <c r="J26" s="56" t="n"/>
      <c r="K26" s="56" t="n"/>
      <c r="L26" s="56" t="n"/>
      <c r="M26" s="57">
        <f>IFERROR(E26/D26,"")</f>
        <v/>
      </c>
      <c r="N26" s="58">
        <f>IFERROR(IF(ISNUMBER(M26),IF(M26&gt;5,"Green",IF(M26&gt;=3,"Yellow","Red")),""),"")</f>
        <v/>
      </c>
      <c r="O26" s="59">
        <f>IFERROR(D26/H26,"")</f>
        <v/>
      </c>
      <c r="P26" s="59">
        <f>IFERROR((F26-G26)/G26,"")</f>
        <v/>
      </c>
      <c r="Q26" s="60">
        <f>IFERROR(D26/I26,"")</f>
        <v/>
      </c>
      <c r="R26" s="59">
        <f>IFERROR(Q26/J26,"")</f>
        <v/>
      </c>
      <c r="S26" s="58">
        <f>IFERROR(IF(ISNUMBER(R26),IF(R26&lt;=0.03,"Green",IF(R26&lt;=0.05,"Yellow","Red")),""),"")</f>
        <v/>
      </c>
      <c r="T26" s="60">
        <f>IFERROR(K26/L26,"")</f>
        <v/>
      </c>
      <c r="U26" s="58">
        <f>IFERROR(IF(ISNUMBER(T26),IF(T26&lt;2.5,"Green",IF(T26&lt;=5,"Yellow","Red")),""),"")</f>
        <v/>
      </c>
    </row>
    <row r="27" ht="15" customHeight="1" s="35">
      <c r="A27" s="56" t="n"/>
      <c r="B27" s="56" t="n"/>
      <c r="C27" s="56" t="n"/>
      <c r="D27" s="56" t="n"/>
      <c r="E27" s="56" t="n"/>
      <c r="F27" s="56" t="n"/>
      <c r="G27" s="56" t="n"/>
      <c r="H27" s="56" t="n"/>
      <c r="I27" s="56" t="n"/>
      <c r="J27" s="56" t="n"/>
      <c r="K27" s="56" t="n"/>
      <c r="L27" s="56" t="n"/>
      <c r="M27" s="57">
        <f>IFERROR(E27/D27,"")</f>
        <v/>
      </c>
      <c r="N27" s="58">
        <f>IFERROR(IF(ISNUMBER(M27),IF(M27&gt;5,"Green",IF(M27&gt;=3,"Yellow","Red")),""),"")</f>
        <v/>
      </c>
      <c r="O27" s="59">
        <f>IFERROR(D27/H27,"")</f>
        <v/>
      </c>
      <c r="P27" s="59">
        <f>IFERROR((F27-G27)/G27,"")</f>
        <v/>
      </c>
      <c r="Q27" s="60">
        <f>IFERROR(D27/I27,"")</f>
        <v/>
      </c>
      <c r="R27" s="59">
        <f>IFERROR(Q27/J27,"")</f>
        <v/>
      </c>
      <c r="S27" s="58">
        <f>IFERROR(IF(ISNUMBER(R27),IF(R27&lt;=0.03,"Green",IF(R27&lt;=0.05,"Yellow","Red")),""),"")</f>
        <v/>
      </c>
      <c r="T27" s="60">
        <f>IFERROR(K27/L27,"")</f>
        <v/>
      </c>
      <c r="U27" s="58">
        <f>IFERROR(IF(ISNUMBER(T27),IF(T27&lt;2.5,"Green",IF(T27&lt;=5,"Yellow","Red")),""),"")</f>
        <v/>
      </c>
    </row>
    <row r="28" ht="15" customHeight="1" s="35">
      <c r="A28" s="56" t="n"/>
      <c r="B28" s="56" t="n"/>
      <c r="C28" s="56" t="n"/>
      <c r="D28" s="56" t="n"/>
      <c r="E28" s="56" t="n"/>
      <c r="F28" s="56" t="n"/>
      <c r="G28" s="56" t="n"/>
      <c r="H28" s="56" t="n"/>
      <c r="I28" s="56" t="n"/>
      <c r="J28" s="56" t="n"/>
      <c r="K28" s="56" t="n"/>
      <c r="L28" s="56" t="n"/>
      <c r="M28" s="57">
        <f>IFERROR(E28/D28,"")</f>
        <v/>
      </c>
      <c r="N28" s="58">
        <f>IFERROR(IF(ISNUMBER(M28),IF(M28&gt;5,"Green",IF(M28&gt;=3,"Yellow","Red")),""),"")</f>
        <v/>
      </c>
      <c r="O28" s="59">
        <f>IFERROR(D28/H28,"")</f>
        <v/>
      </c>
      <c r="P28" s="59">
        <f>IFERROR((F28-G28)/G28,"")</f>
        <v/>
      </c>
      <c r="Q28" s="60">
        <f>IFERROR(D28/I28,"")</f>
        <v/>
      </c>
      <c r="R28" s="59">
        <f>IFERROR(Q28/J28,"")</f>
        <v/>
      </c>
      <c r="S28" s="58">
        <f>IFERROR(IF(ISNUMBER(R28),IF(R28&lt;=0.03,"Green",IF(R28&lt;=0.05,"Yellow","Red")),""),"")</f>
        <v/>
      </c>
      <c r="T28" s="60">
        <f>IFERROR(K28/L28,"")</f>
        <v/>
      </c>
      <c r="U28" s="58">
        <f>IFERROR(IF(ISNUMBER(T28),IF(T28&lt;2.5,"Green",IF(T28&lt;=5,"Yellow","Red")),""),"")</f>
        <v/>
      </c>
    </row>
    <row r="29" ht="15" customHeight="1" s="35">
      <c r="A29" s="56" t="n"/>
      <c r="B29" s="56" t="n"/>
      <c r="C29" s="56" t="n"/>
      <c r="D29" s="56" t="n"/>
      <c r="E29" s="56" t="n"/>
      <c r="F29" s="56" t="n"/>
      <c r="G29" s="56" t="n"/>
      <c r="H29" s="56" t="n"/>
      <c r="I29" s="56" t="n"/>
      <c r="J29" s="56" t="n"/>
      <c r="K29" s="56" t="n"/>
      <c r="L29" s="56" t="n"/>
      <c r="M29" s="57">
        <f>IFERROR(E29/D29,"")</f>
        <v/>
      </c>
      <c r="N29" s="58">
        <f>IFERROR(IF(ISNUMBER(M29),IF(M29&gt;5,"Green",IF(M29&gt;=3,"Yellow","Red")),""),"")</f>
        <v/>
      </c>
      <c r="O29" s="59">
        <f>IFERROR(D29/H29,"")</f>
        <v/>
      </c>
      <c r="P29" s="59">
        <f>IFERROR((F29-G29)/G29,"")</f>
        <v/>
      </c>
      <c r="Q29" s="60">
        <f>IFERROR(D29/I29,"")</f>
        <v/>
      </c>
      <c r="R29" s="59">
        <f>IFERROR(Q29/J29,"")</f>
        <v/>
      </c>
      <c r="S29" s="58">
        <f>IFERROR(IF(ISNUMBER(R29),IF(R29&lt;=0.03,"Green",IF(R29&lt;=0.05,"Yellow","Red")),""),"")</f>
        <v/>
      </c>
      <c r="T29" s="60">
        <f>IFERROR(K29/L29,"")</f>
        <v/>
      </c>
      <c r="U29" s="58">
        <f>IFERROR(IF(ISNUMBER(T29),IF(T29&lt;2.5,"Green",IF(T29&lt;=5,"Yellow","Red")),""),"")</f>
        <v/>
      </c>
    </row>
    <row r="30" ht="15" customHeight="1" s="35">
      <c r="A30" s="56" t="n"/>
      <c r="B30" s="56" t="n"/>
      <c r="C30" s="56" t="n"/>
      <c r="D30" s="56" t="n"/>
      <c r="E30" s="56" t="n"/>
      <c r="F30" s="56" t="n"/>
      <c r="G30" s="56" t="n"/>
      <c r="H30" s="56" t="n"/>
      <c r="I30" s="56" t="n"/>
      <c r="J30" s="56" t="n"/>
      <c r="K30" s="56" t="n"/>
      <c r="L30" s="56" t="n"/>
      <c r="M30" s="57">
        <f>IFERROR(E30/D30,"")</f>
        <v/>
      </c>
      <c r="N30" s="58">
        <f>IFERROR(IF(ISNUMBER(M30),IF(M30&gt;5,"Green",IF(M30&gt;=3,"Yellow","Red")),""),"")</f>
        <v/>
      </c>
      <c r="O30" s="59">
        <f>IFERROR(D30/H30,"")</f>
        <v/>
      </c>
      <c r="P30" s="59">
        <f>IFERROR((F30-G30)/G30,"")</f>
        <v/>
      </c>
      <c r="Q30" s="60">
        <f>IFERROR(D30/I30,"")</f>
        <v/>
      </c>
      <c r="R30" s="59">
        <f>IFERROR(Q30/J30,"")</f>
        <v/>
      </c>
      <c r="S30" s="58">
        <f>IFERROR(IF(ISNUMBER(R30),IF(R30&lt;=0.03,"Green",IF(R30&lt;=0.05,"Yellow","Red")),""),"")</f>
        <v/>
      </c>
      <c r="T30" s="60">
        <f>IFERROR(K30/L30,"")</f>
        <v/>
      </c>
      <c r="U30" s="58">
        <f>IFERROR(IF(ISNUMBER(T30),IF(T30&lt;2.5,"Green",IF(T30&lt;=5,"Yellow","Red")),""),"")</f>
        <v/>
      </c>
    </row>
    <row r="31" ht="15" customHeight="1" s="35">
      <c r="A31" s="56" t="n"/>
      <c r="B31" s="56" t="n"/>
      <c r="C31" s="56" t="n"/>
      <c r="D31" s="56" t="n"/>
      <c r="E31" s="56" t="n"/>
      <c r="F31" s="56" t="n"/>
      <c r="G31" s="56" t="n"/>
      <c r="H31" s="56" t="n"/>
      <c r="I31" s="56" t="n"/>
      <c r="J31" s="56" t="n"/>
      <c r="K31" s="56" t="n"/>
      <c r="L31" s="56" t="n"/>
      <c r="M31" s="57">
        <f>IFERROR(E31/D31,"")</f>
        <v/>
      </c>
      <c r="N31" s="58">
        <f>IFERROR(IF(ISNUMBER(M31),IF(M31&gt;5,"Green",IF(M31&gt;=3,"Yellow","Red")),""),"")</f>
        <v/>
      </c>
      <c r="O31" s="59">
        <f>IFERROR(D31/H31,"")</f>
        <v/>
      </c>
      <c r="P31" s="59">
        <f>IFERROR((F31-G31)/G31,"")</f>
        <v/>
      </c>
      <c r="Q31" s="60">
        <f>IFERROR(D31/I31,"")</f>
        <v/>
      </c>
      <c r="R31" s="59">
        <f>IFERROR(Q31/J31,"")</f>
        <v/>
      </c>
      <c r="S31" s="58">
        <f>IFERROR(IF(ISNUMBER(R31),IF(R31&lt;=0.03,"Green",IF(R31&lt;=0.05,"Yellow","Red")),""),"")</f>
        <v/>
      </c>
      <c r="T31" s="60">
        <f>IFERROR(K31/L31,"")</f>
        <v/>
      </c>
      <c r="U31" s="58">
        <f>IFERROR(IF(ISNUMBER(T31),IF(T31&lt;2.5,"Green",IF(T31&lt;=5,"Yellow","Red")),""),"")</f>
        <v/>
      </c>
    </row>
    <row r="32" ht="15" customHeight="1" s="35">
      <c r="A32" s="56" t="n"/>
      <c r="B32" s="56" t="n"/>
      <c r="C32" s="56" t="n"/>
      <c r="D32" s="56" t="n"/>
      <c r="E32" s="56" t="n"/>
      <c r="F32" s="56" t="n"/>
      <c r="G32" s="56" t="n"/>
      <c r="H32" s="56" t="n"/>
      <c r="I32" s="56" t="n"/>
      <c r="J32" s="56" t="n"/>
      <c r="K32" s="56" t="n"/>
      <c r="L32" s="56" t="n"/>
      <c r="M32" s="57">
        <f>IFERROR(E32/D32,"")</f>
        <v/>
      </c>
      <c r="N32" s="58">
        <f>IFERROR(IF(ISNUMBER(M32),IF(M32&gt;5,"Green",IF(M32&gt;=3,"Yellow","Red")),""),"")</f>
        <v/>
      </c>
      <c r="O32" s="59">
        <f>IFERROR(D32/H32,"")</f>
        <v/>
      </c>
      <c r="P32" s="59">
        <f>IFERROR((F32-G32)/G32,"")</f>
        <v/>
      </c>
      <c r="Q32" s="60">
        <f>IFERROR(D32/I32,"")</f>
        <v/>
      </c>
      <c r="R32" s="59">
        <f>IFERROR(Q32/J32,"")</f>
        <v/>
      </c>
      <c r="S32" s="58">
        <f>IFERROR(IF(ISNUMBER(R32),IF(R32&lt;=0.03,"Green",IF(R32&lt;=0.05,"Yellow","Red")),""),"")</f>
        <v/>
      </c>
      <c r="T32" s="60">
        <f>IFERROR(K32/L32,"")</f>
        <v/>
      </c>
      <c r="U32" s="58">
        <f>IFERROR(IF(ISNUMBER(T32),IF(T32&lt;2.5,"Green",IF(T32&lt;=5,"Yellow","Red")),""),"")</f>
        <v/>
      </c>
    </row>
    <row r="33" ht="15" customHeight="1" s="35">
      <c r="A33" s="56" t="n"/>
      <c r="B33" s="56" t="n"/>
      <c r="C33" s="56" t="n"/>
      <c r="D33" s="56" t="n"/>
      <c r="E33" s="56" t="n"/>
      <c r="F33" s="56" t="n"/>
      <c r="G33" s="56" t="n"/>
      <c r="H33" s="56" t="n"/>
      <c r="I33" s="56" t="n"/>
      <c r="J33" s="56" t="n"/>
      <c r="K33" s="56" t="n"/>
      <c r="L33" s="56" t="n"/>
      <c r="M33" s="57">
        <f>IFERROR(E33/D33,"")</f>
        <v/>
      </c>
      <c r="N33" s="58">
        <f>IFERROR(IF(ISNUMBER(M33),IF(M33&gt;5,"Green",IF(M33&gt;=3,"Yellow","Red")),""),"")</f>
        <v/>
      </c>
      <c r="O33" s="59">
        <f>IFERROR(D33/H33,"")</f>
        <v/>
      </c>
      <c r="P33" s="59">
        <f>IFERROR((F33-G33)/G33,"")</f>
        <v/>
      </c>
      <c r="Q33" s="60">
        <f>IFERROR(D33/I33,"")</f>
        <v/>
      </c>
      <c r="R33" s="59">
        <f>IFERROR(Q33/J33,"")</f>
        <v/>
      </c>
      <c r="S33" s="58">
        <f>IFERROR(IF(ISNUMBER(R33),IF(R33&lt;=0.03,"Green",IF(R33&lt;=0.05,"Yellow","Red")),""),"")</f>
        <v/>
      </c>
      <c r="T33" s="60">
        <f>IFERROR(K33/L33,"")</f>
        <v/>
      </c>
      <c r="U33" s="58">
        <f>IFERROR(IF(ISNUMBER(T33),IF(T33&lt;2.5,"Green",IF(T33&lt;=5,"Yellow","Red")),""),"")</f>
        <v/>
      </c>
    </row>
    <row r="34" ht="15" customHeight="1" s="35">
      <c r="A34" s="56" t="n"/>
      <c r="B34" s="56" t="n"/>
      <c r="C34" s="56" t="n"/>
      <c r="D34" s="56" t="n"/>
      <c r="E34" s="56" t="n"/>
      <c r="F34" s="56" t="n"/>
      <c r="G34" s="56" t="n"/>
      <c r="H34" s="56" t="n"/>
      <c r="I34" s="56" t="n"/>
      <c r="J34" s="56" t="n"/>
      <c r="K34" s="56" t="n"/>
      <c r="L34" s="56" t="n"/>
      <c r="M34" s="57">
        <f>IFERROR(E34/D34,"")</f>
        <v/>
      </c>
      <c r="N34" s="58">
        <f>IFERROR(IF(ISNUMBER(M34),IF(M34&gt;5,"Green",IF(M34&gt;=3,"Yellow","Red")),""),"")</f>
        <v/>
      </c>
      <c r="O34" s="59">
        <f>IFERROR(D34/H34,"")</f>
        <v/>
      </c>
      <c r="P34" s="59">
        <f>IFERROR((F34-G34)/G34,"")</f>
        <v/>
      </c>
      <c r="Q34" s="60">
        <f>IFERROR(D34/I34,"")</f>
        <v/>
      </c>
      <c r="R34" s="59">
        <f>IFERROR(Q34/J34,"")</f>
        <v/>
      </c>
      <c r="S34" s="58">
        <f>IFERROR(IF(ISNUMBER(R34),IF(R34&lt;=0.03,"Green",IF(R34&lt;=0.05,"Yellow","Red")),""),"")</f>
        <v/>
      </c>
      <c r="T34" s="60">
        <f>IFERROR(K34/L34,"")</f>
        <v/>
      </c>
      <c r="U34" s="58">
        <f>IFERROR(IF(ISNUMBER(T34),IF(T34&lt;2.5,"Green",IF(T34&lt;=5,"Yellow","Red")),""),"")</f>
        <v/>
      </c>
    </row>
    <row r="35" ht="15" customHeight="1" s="35">
      <c r="A35" s="56" t="n"/>
      <c r="B35" s="56" t="n"/>
      <c r="C35" s="56" t="n"/>
      <c r="D35" s="56" t="n"/>
      <c r="E35" s="56" t="n"/>
      <c r="F35" s="56" t="n"/>
      <c r="G35" s="56" t="n"/>
      <c r="H35" s="56" t="n"/>
      <c r="I35" s="56" t="n"/>
      <c r="J35" s="56" t="n"/>
      <c r="K35" s="56" t="n"/>
      <c r="L35" s="56" t="n"/>
      <c r="M35" s="57">
        <f>IFERROR(E35/D35,"")</f>
        <v/>
      </c>
      <c r="N35" s="58">
        <f>IFERROR(IF(ISNUMBER(M35),IF(M35&gt;5,"Green",IF(M35&gt;=3,"Yellow","Red")),""),"")</f>
        <v/>
      </c>
      <c r="O35" s="59">
        <f>IFERROR(D35/H35,"")</f>
        <v/>
      </c>
      <c r="P35" s="59">
        <f>IFERROR((F35-G35)/G35,"")</f>
        <v/>
      </c>
      <c r="Q35" s="60">
        <f>IFERROR(D35/I35,"")</f>
        <v/>
      </c>
      <c r="R35" s="59">
        <f>IFERROR(Q35/J35,"")</f>
        <v/>
      </c>
      <c r="S35" s="58">
        <f>IFERROR(IF(ISNUMBER(R35),IF(R35&lt;=0.03,"Green",IF(R35&lt;=0.05,"Yellow","Red")),""),"")</f>
        <v/>
      </c>
      <c r="T35" s="60">
        <f>IFERROR(K35/L35,"")</f>
        <v/>
      </c>
      <c r="U35" s="58">
        <f>IFERROR(IF(ISNUMBER(T35),IF(T35&lt;2.5,"Green",IF(T35&lt;=5,"Yellow","Red")),""),"")</f>
        <v/>
      </c>
    </row>
  </sheetData>
  <mergeCells count="3">
    <mergeCell ref="A1:U1"/>
    <mergeCell ref="A3:U3"/>
    <mergeCell ref="A2:U2"/>
  </mergeCells>
  <conditionalFormatting sqref="N6:N35">
    <cfRule type="cellIs" rank="0" priority="2" equalAverage="0" operator="equal" aboveAverage="0" dxfId="0" text="" percent="0" bottom="0">
      <formula>"Green"</formula>
    </cfRule>
    <cfRule type="cellIs" rank="0" priority="3" equalAverage="0" operator="equal" aboveAverage="0" dxfId="1" text="" percent="0" bottom="0">
      <formula>"Yellow"</formula>
    </cfRule>
    <cfRule type="cellIs" rank="0" priority="4" equalAverage="0" operator="equal" aboveAverage="0" dxfId="2" text="" percent="0" bottom="0">
      <formula>"Red"</formula>
    </cfRule>
  </conditionalFormatting>
  <conditionalFormatting sqref="S6:S35">
    <cfRule type="cellIs" rank="0" priority="5" equalAverage="0" operator="equal" aboveAverage="0" dxfId="0" text="" percent="0" bottom="0">
      <formula>"Green"</formula>
    </cfRule>
    <cfRule type="cellIs" rank="0" priority="6" equalAverage="0" operator="equal" aboveAverage="0" dxfId="1" text="" percent="0" bottom="0">
      <formula>"Yellow"</formula>
    </cfRule>
    <cfRule type="cellIs" rank="0" priority="7" equalAverage="0" operator="equal" aboveAverage="0" dxfId="2" text="" percent="0" bottom="0">
      <formula>"Red"</formula>
    </cfRule>
  </conditionalFormatting>
  <conditionalFormatting sqref="U6:U35">
    <cfRule type="cellIs" rank="0" priority="8" equalAverage="0" operator="equal" aboveAverage="0" dxfId="0" text="" percent="0" bottom="0">
      <formula>"Green"</formula>
    </cfRule>
    <cfRule type="cellIs" rank="0" priority="9" equalAverage="0" operator="equal" aboveAverage="0" dxfId="1" text="" percent="0" bottom="0">
      <formula>"Yellow"</formula>
    </cfRule>
    <cfRule type="cellIs" rank="0" priority="10" equalAverage="0" operator="equal" aboveAverage="0" dxfId="2" text="" percent="0" bottom="0">
      <formula>"Red"</formula>
    </cfRule>
  </conditionalFormatting>
  <dataValidations count="2">
    <dataValidation sqref="B6:B35" showDropDown="0" showInputMessage="0" showErrorMessage="0" allowBlank="1" errorTitle="Invalid entry" error="Please choose a value from the dropdown list." type="list" errorStyle="stop" operator="between">
      <formula1>Lists!$B$2:$B$13</formula1>
      <formula2>0</formula2>
    </dataValidation>
    <dataValidation sqref="C6:C35" showDropDown="0" showInputMessage="0" showErrorMessage="0" allowBlank="1" errorTitle="Invalid entry" error="Please choose a value from the dropdown list." type="list" errorStyle="stop" operator="between">
      <formula1>Lists!$A$2:$A$5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20" customWidth="1" style="34" min="1" max="1"/>
    <col width="12" customWidth="1" style="34" min="2" max="2"/>
    <col width="14" customWidth="1" style="34" min="3" max="4"/>
    <col width="14" customWidth="1" style="35" min="4" max="4"/>
    <col width="13" customWidth="1" style="34" min="5" max="5"/>
    <col width="15" customWidth="1" style="34" min="6" max="6"/>
    <col width="20" customWidth="1" style="34" min="7" max="7"/>
    <col width="12" customWidth="1" style="34" min="8" max="8"/>
    <col width="16" customWidth="1" style="34" min="9" max="10"/>
    <col width="11" customWidth="1" style="34" min="11" max="11"/>
  </cols>
  <sheetData>
    <row r="1" ht="25.5" customHeight="1" s="35">
      <c r="A1" s="50" t="inlineStr">
        <is>
          <t>Page 2 — Media Campaign Performance</t>
        </is>
      </c>
    </row>
    <row r="2" ht="15.75" customHeight="1" s="35">
      <c r="A2" s="51" t="inlineStr">
        <is>
          <t>Table A: one row per campaign. Table B (below): OOH/media coverage &amp; cost per campaign, media type and city (one row per city).</t>
        </is>
      </c>
    </row>
    <row r="3" ht="15" customHeight="1" s="35">
      <c r="A3" s="51" t="inlineStr">
        <is>
          <t>Legend: Yellow = enter data | Grey = auto-calculated (do not edit) | Green row = example (delete before sending)</t>
        </is>
      </c>
    </row>
    <row r="4" ht="21.75" customHeight="1" s="35">
      <c r="A4" s="61" t="inlineStr">
        <is>
          <t>Table A — Campaign Master</t>
        </is>
      </c>
    </row>
    <row r="5" ht="31.5" customHeight="1" s="35">
      <c r="A5" s="47" t="inlineStr">
        <is>
          <t>Campaign Name</t>
        </is>
      </c>
      <c r="B5" s="47" t="inlineStr">
        <is>
          <t>Brand</t>
        </is>
      </c>
      <c r="C5" s="47" t="inlineStr">
        <is>
          <t>Start Date</t>
        </is>
      </c>
      <c r="D5" s="47" t="inlineStr">
        <is>
          <t>End Date</t>
        </is>
      </c>
      <c r="E5" s="47" t="inlineStr">
        <is>
          <t>Status</t>
        </is>
      </c>
      <c r="F5" s="47" t="inlineStr">
        <is>
          <t>Total Spend (LYD)</t>
        </is>
      </c>
      <c r="G5" s="47" t="inlineStr">
        <is>
          <t>Revenue Attributed to Campaign (LYD)</t>
        </is>
      </c>
      <c r="H5" s="47" t="inlineStr">
        <is>
          <t>Duration (Days)</t>
        </is>
      </c>
      <c r="I5" s="47" t="inlineStr">
        <is>
          <t>Spend vs Revenue Rate %</t>
        </is>
      </c>
      <c r="J5" s="47" t="inlineStr">
        <is>
          <t>ROI Ratio (Revenue : Spend)</t>
        </is>
      </c>
      <c r="K5" s="47" t="inlineStr">
        <is>
          <t>ROI Status</t>
        </is>
      </c>
    </row>
    <row r="6" ht="15" customHeight="1" s="35">
      <c r="A6" s="52" t="inlineStr">
        <is>
          <t>Ramadan Lighting Campaign</t>
        </is>
      </c>
      <c r="B6" s="52" t="inlineStr">
        <is>
          <t>Brand A</t>
        </is>
      </c>
      <c r="C6" s="62" t="inlineStr">
        <is>
          <t>2026-02-01</t>
        </is>
      </c>
      <c r="D6" s="62" t="inlineStr">
        <is>
          <t>2026-03-15</t>
        </is>
      </c>
      <c r="E6" s="52" t="inlineStr">
        <is>
          <t>Completed</t>
        </is>
      </c>
      <c r="F6" s="52" t="n">
        <v>120000</v>
      </c>
      <c r="G6" s="52" t="n">
        <v>650000</v>
      </c>
      <c r="H6" s="52">
        <f>IF(OR(C6="",D6=""),"",D6-C6)</f>
        <v/>
      </c>
      <c r="I6" s="54">
        <f>IFERROR(G6/F6,"")</f>
        <v/>
      </c>
      <c r="J6" s="53">
        <f>IFERROR(G6/F6,"")</f>
        <v/>
      </c>
      <c r="K6" s="52">
        <f>IFERROR(IF(ISNUMBER(J6),IF(J6&gt;5,"Green",IF(J6&gt;=3,"Yellow","Red")),""),"")</f>
        <v/>
      </c>
    </row>
    <row r="7" ht="15" customHeight="1" s="35">
      <c r="A7" s="56" t="n"/>
      <c r="B7" s="56" t="n"/>
      <c r="C7" s="63" t="n"/>
      <c r="D7" s="63" t="n"/>
      <c r="E7" s="56" t="n"/>
      <c r="F7" s="56" t="n"/>
      <c r="G7" s="56" t="n"/>
      <c r="H7" s="58">
        <f>IF(OR(C7="",D7=""),"",D7-C7)</f>
        <v/>
      </c>
      <c r="I7" s="59">
        <f>IFERROR(G7/F7,"")</f>
        <v/>
      </c>
      <c r="J7" s="57">
        <f>IFERROR(G7/F7,"")</f>
        <v/>
      </c>
      <c r="K7" s="58">
        <f>IFERROR(IF(ISNUMBER(J7),IF(J7&gt;5,"Green",IF(J7&gt;=3,"Yellow","Red")),""),"")</f>
        <v/>
      </c>
    </row>
    <row r="8" ht="15" customHeight="1" s="35">
      <c r="A8" s="56" t="n"/>
      <c r="B8" s="56" t="n"/>
      <c r="C8" s="63" t="n"/>
      <c r="D8" s="63" t="n"/>
      <c r="E8" s="56" t="n"/>
      <c r="F8" s="56" t="n"/>
      <c r="G8" s="56" t="n"/>
      <c r="H8" s="58">
        <f>IF(OR(C8="",D8=""),"",D8-C8)</f>
        <v/>
      </c>
      <c r="I8" s="59">
        <f>IFERROR(G8/F8,"")</f>
        <v/>
      </c>
      <c r="J8" s="57">
        <f>IFERROR(G8/F8,"")</f>
        <v/>
      </c>
      <c r="K8" s="58">
        <f>IFERROR(IF(ISNUMBER(J8),IF(J8&gt;5,"Green",IF(J8&gt;=3,"Yellow","Red")),""),"")</f>
        <v/>
      </c>
    </row>
    <row r="9" ht="15" customHeight="1" s="35">
      <c r="A9" s="56" t="n"/>
      <c r="B9" s="56" t="n"/>
      <c r="C9" s="63" t="n"/>
      <c r="D9" s="63" t="n"/>
      <c r="E9" s="56" t="n"/>
      <c r="F9" s="56" t="n"/>
      <c r="G9" s="56" t="n"/>
      <c r="H9" s="58">
        <f>IF(OR(C9="",D9=""),"",D9-C9)</f>
        <v/>
      </c>
      <c r="I9" s="59">
        <f>IFERROR(G9/F9,"")</f>
        <v/>
      </c>
      <c r="J9" s="57">
        <f>IFERROR(G9/F9,"")</f>
        <v/>
      </c>
      <c r="K9" s="58">
        <f>IFERROR(IF(ISNUMBER(J9),IF(J9&gt;5,"Green",IF(J9&gt;=3,"Yellow","Red")),""),"")</f>
        <v/>
      </c>
    </row>
    <row r="10" ht="15" customHeight="1" s="35">
      <c r="A10" s="56" t="n"/>
      <c r="B10" s="56" t="n"/>
      <c r="C10" s="63" t="n"/>
      <c r="D10" s="63" t="n"/>
      <c r="E10" s="56" t="n"/>
      <c r="F10" s="56" t="n"/>
      <c r="G10" s="56" t="n"/>
      <c r="H10" s="58">
        <f>IF(OR(C10="",D10=""),"",D10-C10)</f>
        <v/>
      </c>
      <c r="I10" s="59">
        <f>IFERROR(G10/F10,"")</f>
        <v/>
      </c>
      <c r="J10" s="57">
        <f>IFERROR(G10/F10,"")</f>
        <v/>
      </c>
      <c r="K10" s="58">
        <f>IFERROR(IF(ISNUMBER(J10),IF(J10&gt;5,"Green",IF(J10&gt;=3,"Yellow","Red")),""),"")</f>
        <v/>
      </c>
    </row>
    <row r="11" ht="15" customHeight="1" s="35">
      <c r="A11" s="56" t="n"/>
      <c r="B11" s="56" t="n"/>
      <c r="C11" s="63" t="n"/>
      <c r="D11" s="63" t="n"/>
      <c r="E11" s="56" t="n"/>
      <c r="F11" s="56" t="n"/>
      <c r="G11" s="56" t="n"/>
      <c r="H11" s="58">
        <f>IF(OR(C11="",D11=""),"",D11-C11)</f>
        <v/>
      </c>
      <c r="I11" s="59">
        <f>IFERROR(G11/F11,"")</f>
        <v/>
      </c>
      <c r="J11" s="57">
        <f>IFERROR(G11/F11,"")</f>
        <v/>
      </c>
      <c r="K11" s="58">
        <f>IFERROR(IF(ISNUMBER(J11),IF(J11&gt;5,"Green",IF(J11&gt;=3,"Yellow","Red")),""),"")</f>
        <v/>
      </c>
    </row>
    <row r="12" ht="15" customHeight="1" s="35">
      <c r="A12" s="56" t="n"/>
      <c r="B12" s="56" t="n"/>
      <c r="C12" s="63" t="n"/>
      <c r="D12" s="63" t="n"/>
      <c r="E12" s="56" t="n"/>
      <c r="F12" s="56" t="n"/>
      <c r="G12" s="56" t="n"/>
      <c r="H12" s="58">
        <f>IF(OR(C12="",D12=""),"",D12-C12)</f>
        <v/>
      </c>
      <c r="I12" s="59">
        <f>IFERROR(G12/F12,"")</f>
        <v/>
      </c>
      <c r="J12" s="57">
        <f>IFERROR(G12/F12,"")</f>
        <v/>
      </c>
      <c r="K12" s="58">
        <f>IFERROR(IF(ISNUMBER(J12),IF(J12&gt;5,"Green",IF(J12&gt;=3,"Yellow","Red")),""),"")</f>
        <v/>
      </c>
    </row>
    <row r="13" ht="15" customHeight="1" s="35">
      <c r="A13" s="56" t="n"/>
      <c r="B13" s="56" t="n"/>
      <c r="C13" s="63" t="n"/>
      <c r="D13" s="63" t="n"/>
      <c r="E13" s="56" t="n"/>
      <c r="F13" s="56" t="n"/>
      <c r="G13" s="56" t="n"/>
      <c r="H13" s="58">
        <f>IF(OR(C13="",D13=""),"",D13-C13)</f>
        <v/>
      </c>
      <c r="I13" s="59">
        <f>IFERROR(G13/F13,"")</f>
        <v/>
      </c>
      <c r="J13" s="57">
        <f>IFERROR(G13/F13,"")</f>
        <v/>
      </c>
      <c r="K13" s="58">
        <f>IFERROR(IF(ISNUMBER(J13),IF(J13&gt;5,"Green",IF(J13&gt;=3,"Yellow","Red")),""),"")</f>
        <v/>
      </c>
    </row>
    <row r="14" ht="15" customHeight="1" s="35">
      <c r="A14" s="56" t="n"/>
      <c r="B14" s="56" t="n"/>
      <c r="C14" s="63" t="n"/>
      <c r="D14" s="63" t="n"/>
      <c r="E14" s="56" t="n"/>
      <c r="F14" s="56" t="n"/>
      <c r="G14" s="56" t="n"/>
      <c r="H14" s="58">
        <f>IF(OR(C14="",D14=""),"",D14-C14)</f>
        <v/>
      </c>
      <c r="I14" s="59">
        <f>IFERROR(G14/F14,"")</f>
        <v/>
      </c>
      <c r="J14" s="57">
        <f>IFERROR(G14/F14,"")</f>
        <v/>
      </c>
      <c r="K14" s="58">
        <f>IFERROR(IF(ISNUMBER(J14),IF(J14&gt;5,"Green",IF(J14&gt;=3,"Yellow","Red")),""),"")</f>
        <v/>
      </c>
    </row>
    <row r="15" ht="15" customHeight="1" s="35">
      <c r="A15" s="56" t="n"/>
      <c r="B15" s="56" t="n"/>
      <c r="C15" s="63" t="n"/>
      <c r="D15" s="63" t="n"/>
      <c r="E15" s="56" t="n"/>
      <c r="F15" s="56" t="n"/>
      <c r="G15" s="56" t="n"/>
      <c r="H15" s="58">
        <f>IF(OR(C15="",D15=""),"",D15-C15)</f>
        <v/>
      </c>
      <c r="I15" s="59">
        <f>IFERROR(G15/F15,"")</f>
        <v/>
      </c>
      <c r="J15" s="57">
        <f>IFERROR(G15/F15,"")</f>
        <v/>
      </c>
      <c r="K15" s="58">
        <f>IFERROR(IF(ISNUMBER(J15),IF(J15&gt;5,"Green",IF(J15&gt;=3,"Yellow","Red")),""),"")</f>
        <v/>
      </c>
    </row>
    <row r="16" ht="15" customHeight="1" s="35">
      <c r="A16" s="56" t="n"/>
      <c r="B16" s="56" t="n"/>
      <c r="C16" s="63" t="n"/>
      <c r="D16" s="63" t="n"/>
      <c r="E16" s="56" t="n"/>
      <c r="F16" s="56" t="n"/>
      <c r="G16" s="56" t="n"/>
      <c r="H16" s="58">
        <f>IF(OR(C16="",D16=""),"",D16-C16)</f>
        <v/>
      </c>
      <c r="I16" s="59">
        <f>IFERROR(G16/F16,"")</f>
        <v/>
      </c>
      <c r="J16" s="57">
        <f>IFERROR(G16/F16,"")</f>
        <v/>
      </c>
      <c r="K16" s="58">
        <f>IFERROR(IF(ISNUMBER(J16),IF(J16&gt;5,"Green",IF(J16&gt;=3,"Yellow","Red")),""),"")</f>
        <v/>
      </c>
    </row>
    <row r="17" ht="15" customHeight="1" s="35">
      <c r="A17" s="56" t="n"/>
      <c r="B17" s="56" t="n"/>
      <c r="C17" s="63" t="n"/>
      <c r="D17" s="63" t="n"/>
      <c r="E17" s="56" t="n"/>
      <c r="F17" s="56" t="n"/>
      <c r="G17" s="56" t="n"/>
      <c r="H17" s="58">
        <f>IF(OR(C17="",D17=""),"",D17-C17)</f>
        <v/>
      </c>
      <c r="I17" s="59">
        <f>IFERROR(G17/F17,"")</f>
        <v/>
      </c>
      <c r="J17" s="57">
        <f>IFERROR(G17/F17,"")</f>
        <v/>
      </c>
      <c r="K17" s="58">
        <f>IFERROR(IF(ISNUMBER(J17),IF(J17&gt;5,"Green",IF(J17&gt;=3,"Yellow","Red")),""),"")</f>
        <v/>
      </c>
    </row>
    <row r="18" ht="15" customHeight="1" s="35">
      <c r="A18" s="56" t="n"/>
      <c r="B18" s="56" t="n"/>
      <c r="C18" s="63" t="n"/>
      <c r="D18" s="63" t="n"/>
      <c r="E18" s="56" t="n"/>
      <c r="F18" s="56" t="n"/>
      <c r="G18" s="56" t="n"/>
      <c r="H18" s="58">
        <f>IF(OR(C18="",D18=""),"",D18-C18)</f>
        <v/>
      </c>
      <c r="I18" s="59">
        <f>IFERROR(G18/F18,"")</f>
        <v/>
      </c>
      <c r="J18" s="57">
        <f>IFERROR(G18/F18,"")</f>
        <v/>
      </c>
      <c r="K18" s="58">
        <f>IFERROR(IF(ISNUMBER(J18),IF(J18&gt;5,"Green",IF(J18&gt;=3,"Yellow","Red")),""),"")</f>
        <v/>
      </c>
    </row>
    <row r="19" ht="15" customHeight="1" s="35">
      <c r="A19" s="56" t="n"/>
      <c r="B19" s="56" t="n"/>
      <c r="C19" s="63" t="n"/>
      <c r="D19" s="63" t="n"/>
      <c r="E19" s="56" t="n"/>
      <c r="F19" s="56" t="n"/>
      <c r="G19" s="56" t="n"/>
      <c r="H19" s="58">
        <f>IF(OR(C19="",D19=""),"",D19-C19)</f>
        <v/>
      </c>
      <c r="I19" s="59">
        <f>IFERROR(G19/F19,"")</f>
        <v/>
      </c>
      <c r="J19" s="57">
        <f>IFERROR(G19/F19,"")</f>
        <v/>
      </c>
      <c r="K19" s="58">
        <f>IFERROR(IF(ISNUMBER(J19),IF(J19&gt;5,"Green",IF(J19&gt;=3,"Yellow","Red")),""),"")</f>
        <v/>
      </c>
    </row>
    <row r="20" ht="15" customHeight="1" s="35">
      <c r="A20" s="56" t="n"/>
      <c r="B20" s="56" t="n"/>
      <c r="C20" s="63" t="n"/>
      <c r="D20" s="63" t="n"/>
      <c r="E20" s="56" t="n"/>
      <c r="F20" s="56" t="n"/>
      <c r="G20" s="56" t="n"/>
      <c r="H20" s="58">
        <f>IF(OR(C20="",D20=""),"",D20-C20)</f>
        <v/>
      </c>
      <c r="I20" s="59">
        <f>IFERROR(G20/F20,"")</f>
        <v/>
      </c>
      <c r="J20" s="57">
        <f>IFERROR(G20/F20,"")</f>
        <v/>
      </c>
      <c r="K20" s="58">
        <f>IFERROR(IF(ISNUMBER(J20),IF(J20&gt;5,"Green",IF(J20&gt;=3,"Yellow","Red")),""),"")</f>
        <v/>
      </c>
    </row>
    <row r="21" ht="15" customHeight="1" s="35">
      <c r="A21" s="56" t="n"/>
      <c r="B21" s="56" t="n"/>
      <c r="C21" s="63" t="n"/>
      <c r="D21" s="63" t="n"/>
      <c r="E21" s="56" t="n"/>
      <c r="F21" s="56" t="n"/>
      <c r="G21" s="56" t="n"/>
      <c r="H21" s="58">
        <f>IF(OR(C21="",D21=""),"",D21-C21)</f>
        <v/>
      </c>
      <c r="I21" s="59">
        <f>IFERROR(G21/F21,"")</f>
        <v/>
      </c>
      <c r="J21" s="57">
        <f>IFERROR(G21/F21,"")</f>
        <v/>
      </c>
      <c r="K21" s="58">
        <f>IFERROR(IF(ISNUMBER(J21),IF(J21&gt;5,"Green",IF(J21&gt;=3,"Yellow","Red")),""),"")</f>
        <v/>
      </c>
    </row>
    <row r="22" ht="15" customHeight="1" s="35">
      <c r="A22" s="56" t="n"/>
      <c r="B22" s="56" t="n"/>
      <c r="C22" s="63" t="n"/>
      <c r="D22" s="63" t="n"/>
      <c r="E22" s="56" t="n"/>
      <c r="F22" s="56" t="n"/>
      <c r="G22" s="56" t="n"/>
      <c r="H22" s="58">
        <f>IF(OR(C22="",D22=""),"",D22-C22)</f>
        <v/>
      </c>
      <c r="I22" s="59">
        <f>IFERROR(G22/F22,"")</f>
        <v/>
      </c>
      <c r="J22" s="57">
        <f>IFERROR(G22/F22,"")</f>
        <v/>
      </c>
      <c r="K22" s="58">
        <f>IFERROR(IF(ISNUMBER(J22),IF(J22&gt;5,"Green",IF(J22&gt;=3,"Yellow","Red")),""),"")</f>
        <v/>
      </c>
    </row>
    <row r="23" ht="15" customHeight="1" s="35">
      <c r="A23" s="56" t="n"/>
      <c r="B23" s="56" t="n"/>
      <c r="C23" s="63" t="n"/>
      <c r="D23" s="63" t="n"/>
      <c r="E23" s="56" t="n"/>
      <c r="F23" s="56" t="n"/>
      <c r="G23" s="56" t="n"/>
      <c r="H23" s="58">
        <f>IF(OR(C23="",D23=""),"",D23-C23)</f>
        <v/>
      </c>
      <c r="I23" s="59">
        <f>IFERROR(G23/F23,"")</f>
        <v/>
      </c>
      <c r="J23" s="57">
        <f>IFERROR(G23/F23,"")</f>
        <v/>
      </c>
      <c r="K23" s="58">
        <f>IFERROR(IF(ISNUMBER(J23),IF(J23&gt;5,"Green",IF(J23&gt;=3,"Yellow","Red")),""),"")</f>
        <v/>
      </c>
    </row>
    <row r="24" ht="15" customHeight="1" s="35">
      <c r="A24" s="56" t="n"/>
      <c r="B24" s="56" t="n"/>
      <c r="C24" s="63" t="n"/>
      <c r="D24" s="63" t="n"/>
      <c r="E24" s="56" t="n"/>
      <c r="F24" s="56" t="n"/>
      <c r="G24" s="56" t="n"/>
      <c r="H24" s="58">
        <f>IF(OR(C24="",D24=""),"",D24-C24)</f>
        <v/>
      </c>
      <c r="I24" s="59">
        <f>IFERROR(G24/F24,"")</f>
        <v/>
      </c>
      <c r="J24" s="57">
        <f>IFERROR(G24/F24,"")</f>
        <v/>
      </c>
      <c r="K24" s="58">
        <f>IFERROR(IF(ISNUMBER(J24),IF(J24&gt;5,"Green",IF(J24&gt;=3,"Yellow","Red")),""),"")</f>
        <v/>
      </c>
    </row>
    <row r="25" ht="15" customHeight="1" s="35">
      <c r="A25" s="56" t="n"/>
      <c r="B25" s="56" t="n"/>
      <c r="C25" s="63" t="n"/>
      <c r="D25" s="63" t="n"/>
      <c r="E25" s="56" t="n"/>
      <c r="F25" s="56" t="n"/>
      <c r="G25" s="56" t="n"/>
      <c r="H25" s="58">
        <f>IF(OR(C25="",D25=""),"",D25-C25)</f>
        <v/>
      </c>
      <c r="I25" s="59">
        <f>IFERROR(G25/F25,"")</f>
        <v/>
      </c>
      <c r="J25" s="57">
        <f>IFERROR(G25/F25,"")</f>
        <v/>
      </c>
      <c r="K25" s="58">
        <f>IFERROR(IF(ISNUMBER(J25),IF(J25&gt;5,"Green",IF(J25&gt;=3,"Yellow","Red")),""),"")</f>
        <v/>
      </c>
    </row>
    <row r="28" ht="21.75" customHeight="1" s="35">
      <c r="A28" s="61" t="inlineStr">
        <is>
          <t>Table B — OOH / Geographic Coverage &amp; Cost by Type and City</t>
        </is>
      </c>
    </row>
    <row r="29" ht="31.5" customHeight="1" s="35">
      <c r="A29" s="47" t="inlineStr">
        <is>
          <t>Campaign Name</t>
        </is>
      </c>
      <c r="B29" s="47" t="inlineStr">
        <is>
          <t>Media Type</t>
        </is>
      </c>
      <c r="C29" s="64" t="inlineStr">
        <is>
          <t>City</t>
        </is>
      </c>
      <c r="D29" s="64" t="inlineStr">
        <is>
          <t># of Locations / Units</t>
        </is>
      </c>
      <c r="E29" s="64" t="inlineStr">
        <is>
          <t>Cost (LYD)</t>
        </is>
      </c>
    </row>
    <row r="30" ht="15" customHeight="1" s="35">
      <c r="A30" s="52" t="inlineStr">
        <is>
          <t>Ramadan Lighting Campaign</t>
        </is>
      </c>
      <c r="B30" s="52" t="inlineStr">
        <is>
          <t>1-Street Lights</t>
        </is>
      </c>
      <c r="C30" s="65" t="inlineStr">
        <is>
          <t>Tripoli</t>
        </is>
      </c>
      <c r="D30" s="65" t="n">
        <v>45</v>
      </c>
      <c r="E30" s="65" t="n">
        <v>30000</v>
      </c>
    </row>
    <row r="31" ht="15" customHeight="1" s="35">
      <c r="A31" s="56" t="n"/>
      <c r="B31" s="56" t="n"/>
      <c r="C31" s="66" t="n"/>
      <c r="D31" s="67" t="n"/>
      <c r="E31" s="67" t="n"/>
    </row>
    <row r="32" ht="15" customHeight="1" s="35">
      <c r="A32" s="56" t="n"/>
      <c r="B32" s="56" t="n"/>
      <c r="C32" s="66" t="n"/>
      <c r="D32" s="67" t="n"/>
      <c r="E32" s="67" t="n"/>
    </row>
    <row r="33" ht="15" customHeight="1" s="35">
      <c r="A33" s="56" t="n"/>
      <c r="B33" s="56" t="n"/>
      <c r="C33" s="66" t="n"/>
      <c r="D33" s="67" t="n"/>
      <c r="E33" s="67" t="n"/>
    </row>
    <row r="34" ht="15" customHeight="1" s="35">
      <c r="A34" s="56" t="n"/>
      <c r="B34" s="56" t="n"/>
      <c r="C34" s="66" t="n"/>
      <c r="D34" s="67" t="n"/>
      <c r="E34" s="67" t="n"/>
    </row>
    <row r="35" ht="15" customHeight="1" s="35">
      <c r="A35" s="56" t="n"/>
      <c r="B35" s="56" t="n"/>
      <c r="C35" s="66" t="n"/>
      <c r="D35" s="67" t="n"/>
      <c r="E35" s="67" t="n"/>
    </row>
    <row r="36" ht="15" customHeight="1" s="35">
      <c r="A36" s="56" t="n"/>
      <c r="B36" s="56" t="n"/>
      <c r="C36" s="66" t="n"/>
      <c r="D36" s="67" t="n"/>
      <c r="E36" s="67" t="n"/>
    </row>
    <row r="37" ht="15" customHeight="1" s="35">
      <c r="A37" s="56" t="n"/>
      <c r="B37" s="56" t="n"/>
      <c r="C37" s="66" t="n"/>
      <c r="D37" s="67" t="n"/>
      <c r="E37" s="67" t="n"/>
    </row>
    <row r="38" ht="15" customHeight="1" s="35">
      <c r="A38" s="56" t="n"/>
      <c r="B38" s="56" t="n"/>
      <c r="C38" s="66" t="n"/>
      <c r="D38" s="67" t="n"/>
      <c r="E38" s="67" t="n"/>
    </row>
    <row r="39" ht="15" customHeight="1" s="35">
      <c r="A39" s="56" t="n"/>
      <c r="B39" s="56" t="n"/>
      <c r="C39" s="66" t="n"/>
      <c r="D39" s="67" t="n"/>
      <c r="E39" s="67" t="n"/>
    </row>
    <row r="40" ht="15" customHeight="1" s="35">
      <c r="A40" s="56" t="n"/>
      <c r="B40" s="56" t="n"/>
      <c r="C40" s="66" t="n"/>
      <c r="D40" s="67" t="n"/>
      <c r="E40" s="67" t="n"/>
    </row>
    <row r="41" ht="15" customHeight="1" s="35">
      <c r="A41" s="56" t="n"/>
      <c r="B41" s="56" t="n"/>
      <c r="C41" s="66" t="n"/>
      <c r="D41" s="67" t="n"/>
      <c r="E41" s="67" t="n"/>
    </row>
    <row r="42" ht="15" customHeight="1" s="35">
      <c r="A42" s="56" t="n"/>
      <c r="B42" s="56" t="n"/>
      <c r="C42" s="66" t="n"/>
      <c r="D42" s="67" t="n"/>
      <c r="E42" s="67" t="n"/>
    </row>
    <row r="43" ht="15" customHeight="1" s="35">
      <c r="A43" s="56" t="n"/>
      <c r="B43" s="56" t="n"/>
      <c r="C43" s="66" t="n"/>
      <c r="D43" s="67" t="n"/>
      <c r="E43" s="67" t="n"/>
    </row>
    <row r="44" ht="15" customHeight="1" s="35">
      <c r="A44" s="56" t="n"/>
      <c r="B44" s="56" t="n"/>
      <c r="C44" s="66" t="n"/>
      <c r="D44" s="67" t="n"/>
      <c r="E44" s="67" t="n"/>
    </row>
    <row r="45" ht="15" customHeight="1" s="35">
      <c r="A45" s="56" t="n"/>
      <c r="B45" s="56" t="n"/>
      <c r="C45" s="66" t="n"/>
      <c r="D45" s="67" t="n"/>
      <c r="E45" s="67" t="n"/>
    </row>
    <row r="46" ht="15" customHeight="1" s="35">
      <c r="A46" s="56" t="n"/>
      <c r="B46" s="56" t="n"/>
      <c r="C46" s="66" t="n"/>
      <c r="D46" s="67" t="n"/>
      <c r="E46" s="67" t="n"/>
    </row>
    <row r="47" ht="15" customHeight="1" s="35">
      <c r="A47" s="56" t="n"/>
      <c r="B47" s="56" t="n"/>
      <c r="C47" s="66" t="n"/>
      <c r="D47" s="67" t="n"/>
      <c r="E47" s="67" t="n"/>
    </row>
    <row r="48" ht="15" customHeight="1" s="35">
      <c r="A48" s="56" t="n"/>
      <c r="B48" s="56" t="n"/>
      <c r="C48" s="66" t="n"/>
      <c r="D48" s="67" t="n"/>
      <c r="E48" s="67" t="n"/>
    </row>
    <row r="49" ht="15" customHeight="1" s="35">
      <c r="A49" s="56" t="n"/>
      <c r="B49" s="56" t="n"/>
      <c r="C49" s="66" t="n"/>
      <c r="D49" s="67" t="n"/>
      <c r="E49" s="67" t="n"/>
    </row>
    <row r="50" ht="15" customHeight="1" s="35">
      <c r="A50" s="56" t="n"/>
      <c r="B50" s="56" t="n"/>
      <c r="C50" s="66" t="n"/>
      <c r="D50" s="67" t="n"/>
      <c r="E50" s="67" t="n"/>
    </row>
    <row r="51" ht="15" customHeight="1" s="35">
      <c r="A51" s="56" t="n"/>
      <c r="B51" s="56" t="n"/>
      <c r="C51" s="66" t="n"/>
      <c r="D51" s="67" t="n"/>
      <c r="E51" s="67" t="n"/>
    </row>
    <row r="52" ht="15" customHeight="1" s="35">
      <c r="A52" s="56" t="n"/>
      <c r="B52" s="56" t="n"/>
      <c r="C52" s="66" t="n"/>
      <c r="D52" s="67" t="n"/>
      <c r="E52" s="67" t="n"/>
    </row>
    <row r="53" ht="15" customHeight="1" s="35">
      <c r="A53" s="56" t="n"/>
      <c r="B53" s="56" t="n"/>
      <c r="C53" s="66" t="n"/>
      <c r="D53" s="67" t="n"/>
      <c r="E53" s="67" t="n"/>
    </row>
    <row r="54" ht="15" customHeight="1" s="35">
      <c r="A54" s="56" t="n"/>
      <c r="B54" s="56" t="n"/>
      <c r="C54" s="66" t="n"/>
      <c r="D54" s="67" t="n"/>
      <c r="E54" s="67" t="n"/>
    </row>
    <row r="55" ht="15" customHeight="1" s="35">
      <c r="A55" s="56" t="n"/>
      <c r="B55" s="56" t="n"/>
      <c r="C55" s="66" t="n"/>
      <c r="D55" s="67" t="n"/>
      <c r="E55" s="67" t="n"/>
    </row>
    <row r="56" ht="15" customHeight="1" s="35">
      <c r="A56" s="56" t="n"/>
      <c r="B56" s="56" t="n"/>
      <c r="C56" s="66" t="n"/>
      <c r="D56" s="67" t="n"/>
      <c r="E56" s="67" t="n"/>
    </row>
    <row r="57" ht="15" customHeight="1" s="35">
      <c r="A57" s="56" t="n"/>
      <c r="B57" s="56" t="n"/>
      <c r="C57" s="66" t="n"/>
      <c r="D57" s="67" t="n"/>
      <c r="E57" s="67" t="n"/>
    </row>
    <row r="58" ht="15" customHeight="1" s="35">
      <c r="A58" s="56" t="n"/>
      <c r="B58" s="56" t="n"/>
      <c r="C58" s="66" t="n"/>
      <c r="D58" s="67" t="n"/>
      <c r="E58" s="67" t="n"/>
    </row>
    <row r="59" ht="15" customHeight="1" s="35">
      <c r="A59" s="56" t="n"/>
      <c r="B59" s="56" t="n"/>
      <c r="C59" s="66" t="n"/>
      <c r="D59" s="67" t="n"/>
      <c r="E59" s="67" t="n"/>
    </row>
  </sheetData>
  <mergeCells count="5">
    <mergeCell ref="A4:K4"/>
    <mergeCell ref="A3:K3"/>
    <mergeCell ref="A28:E28"/>
    <mergeCell ref="A2:K2"/>
    <mergeCell ref="A1:K1"/>
  </mergeCells>
  <conditionalFormatting sqref="K6:K25">
    <cfRule type="cellIs" rank="0" priority="2" equalAverage="0" operator="equal" aboveAverage="0" dxfId="0" text="" percent="0" bottom="0">
      <formula>"Green"</formula>
    </cfRule>
    <cfRule type="cellIs" rank="0" priority="3" equalAverage="0" operator="equal" aboveAverage="0" dxfId="1" text="" percent="0" bottom="0">
      <formula>"Yellow"</formula>
    </cfRule>
    <cfRule type="cellIs" rank="0" priority="4" equalAverage="0" operator="equal" aboveAverage="0" dxfId="2" text="" percent="0" bottom="0">
      <formula>"Red"</formula>
    </cfRule>
  </conditionalFormatting>
  <dataValidations count="4">
    <dataValidation sqref="B6:B25" showDropDown="0" showInputMessage="0" showErrorMessage="0" allowBlank="1" errorTitle="Invalid entry" error="Please choose a value from the dropdown list." type="list" errorStyle="stop" operator="between">
      <formula1>Lists!$A$2:$A$5</formula1>
      <formula2>0</formula2>
    </dataValidation>
    <dataValidation sqref="E6:E25" showDropDown="0" showInputMessage="0" showErrorMessage="0" allowBlank="1" errorTitle="Invalid entry" error="Please choose a value from the dropdown list." type="list" errorStyle="stop" operator="between">
      <formula1>Lists!$E$2:$E$5</formula1>
      <formula2>0</formula2>
    </dataValidation>
    <dataValidation sqref="B30:B59" showDropDown="0" showInputMessage="0" showErrorMessage="0" allowBlank="1" errorTitle="Invalid entry" error="Please choose a value from the dropdown list." type="list" errorStyle="stop" operator="between">
      <formula1>Lists!$D$2:$D$6</formula1>
      <formula2>0</formula2>
    </dataValidation>
    <dataValidation sqref="C30:C59" showDropDown="0" showInputMessage="0" showErrorMessage="1" allowBlank="1" errorTitle="City" error="Pick a city from the list." type="list">
      <formula1>Lists!$H$2:$H$31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6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7" customWidth="1" style="34" min="1" max="1"/>
    <col width="11" customWidth="1" style="34" min="2" max="3"/>
    <col width="14" customWidth="1" style="34" min="4" max="4"/>
    <col width="13" customWidth="1" style="34" min="5" max="5"/>
    <col width="11" customWidth="1" style="34" min="6" max="6"/>
    <col width="20" customWidth="1" style="34" min="7" max="8"/>
    <col width="14" customWidth="1" style="34" min="9" max="9"/>
    <col width="9" customWidth="1" style="34" min="10" max="10"/>
    <col width="11" customWidth="1" style="34" min="11" max="11"/>
    <col width="14" customWidth="1" style="34" min="12" max="12"/>
    <col width="13" customWidth="1" style="34" min="13" max="13"/>
  </cols>
  <sheetData>
    <row r="1" ht="25.5" customHeight="1" s="35">
      <c r="A1" s="50" t="inlineStr">
        <is>
          <t>Page 3 — Digital Performance</t>
        </is>
      </c>
    </row>
    <row r="2" ht="15.75" customHeight="1" s="35">
      <c r="A2" s="51" t="inlineStr">
        <is>
          <t>Table A: one row per Month per Platform. Table B (below): monthly website traffic.</t>
        </is>
      </c>
    </row>
    <row r="3" ht="15" customHeight="1" s="35">
      <c r="A3" s="51" t="inlineStr">
        <is>
          <t>Legend: Yellow = enter data | Grey = auto-calculated (do not edit) | Green row = example (delete before sending)</t>
        </is>
      </c>
    </row>
    <row r="4" ht="21.75" customHeight="1" s="35">
      <c r="A4" s="61" t="inlineStr">
        <is>
          <t>Table A — Social Media Monthly</t>
        </is>
      </c>
    </row>
    <row r="5" ht="31.5" customHeight="1" s="35">
      <c r="A5" s="47" t="inlineStr">
        <is>
          <t>Year</t>
        </is>
      </c>
      <c r="B5" s="47" t="inlineStr">
        <is>
          <t>Month</t>
        </is>
      </c>
      <c r="C5" s="47" t="inlineStr">
        <is>
          <t>Platform</t>
        </is>
      </c>
      <c r="D5" s="47" t="inlineStr">
        <is>
          <t>Followers / Likes (#)</t>
        </is>
      </c>
      <c r="E5" s="47" t="inlineStr">
        <is>
          <t>Impressions (#)</t>
        </is>
      </c>
      <c r="F5" s="47" t="inlineStr">
        <is>
          <t>Clicks (#)</t>
        </is>
      </c>
      <c r="G5" s="47" t="inlineStr">
        <is>
          <t>Paid Engagement - Likes+Comments+Shares+Saves+Clicks (#)</t>
        </is>
      </c>
      <c r="H5" s="47" t="inlineStr">
        <is>
          <t>Organic (Free) Engagement - same (#)</t>
        </is>
      </c>
      <c r="I5" s="47" t="inlineStr">
        <is>
          <t>Total Engagement (#)</t>
        </is>
      </c>
      <c r="J5" s="47" t="inlineStr">
        <is>
          <t>CTR %</t>
        </is>
      </c>
      <c r="K5" s="47" t="inlineStr">
        <is>
          <t>CTR Status</t>
        </is>
      </c>
      <c r="L5" s="47" t="inlineStr">
        <is>
          <t>Engagement Rate %</t>
        </is>
      </c>
      <c r="M5" s="47" t="inlineStr">
        <is>
          <t>Engagement Status</t>
        </is>
      </c>
    </row>
    <row r="6" ht="15" customHeight="1" s="35">
      <c r="A6" s="52" t="n">
        <v>2026</v>
      </c>
      <c r="B6" s="52" t="inlineStr">
        <is>
          <t>August</t>
        </is>
      </c>
      <c r="C6" s="52" t="inlineStr">
        <is>
          <t>Instagram</t>
        </is>
      </c>
      <c r="D6" s="52" t="n">
        <v>52000</v>
      </c>
      <c r="E6" s="52" t="n">
        <v>180000</v>
      </c>
      <c r="F6" s="52" t="n">
        <v>9500</v>
      </c>
      <c r="G6" s="52" t="n">
        <v>4200</v>
      </c>
      <c r="H6" s="52" t="n">
        <v>3100</v>
      </c>
      <c r="I6" s="52">
        <f>IF(AND(G6="",H6=""),"",N(G6)+N(H6))</f>
        <v/>
      </c>
      <c r="J6" s="54">
        <f>IFERROR(F6/E6,"")</f>
        <v/>
      </c>
      <c r="K6" s="52">
        <f>IFERROR(IF(ISNUMBER(J6),IF(J6&gt;0.05,"Green",IF(J6&gt;=0.03,"Yellow","Red")),""),"")</f>
        <v/>
      </c>
      <c r="L6" s="54">
        <f>IFERROR(I6/E6,"")</f>
        <v/>
      </c>
      <c r="M6" s="52">
        <f>IFERROR(IF(ISNUMBER(L6),IF(L6&gt;0.05,"Green",IF(L6&gt;=0.03,"Yellow","Red")),""),"")</f>
        <v/>
      </c>
    </row>
    <row r="7" ht="15" customHeight="1" s="35">
      <c r="A7" s="56" t="n"/>
      <c r="B7" s="56" t="n"/>
      <c r="C7" s="56" t="n"/>
      <c r="D7" s="56" t="n"/>
      <c r="E7" s="56" t="n"/>
      <c r="F7" s="56" t="n"/>
      <c r="G7" s="58" t="n"/>
      <c r="H7" s="58" t="n"/>
      <c r="I7" s="58">
        <f>IF(AND(G7="",H7=""),"",N(G7)+N(H7))</f>
        <v/>
      </c>
      <c r="J7" s="59">
        <f>IFERROR(F7/E7,"")</f>
        <v/>
      </c>
      <c r="K7" s="58">
        <f>IFERROR(IF(ISNUMBER(J7),IF(J7&gt;0.05,"Green",IF(J7&gt;=0.03,"Yellow","Red")),""),"")</f>
        <v/>
      </c>
      <c r="L7" s="59">
        <f>IFERROR(I7/E7,"")</f>
        <v/>
      </c>
      <c r="M7" s="58">
        <f>IFERROR(IF(ISNUMBER(L7),IF(L7&gt;0.05,"Green",IF(L7&gt;=0.03,"Yellow","Red")),""),"")</f>
        <v/>
      </c>
    </row>
    <row r="8" ht="15" customHeight="1" s="35">
      <c r="A8" s="56" t="n"/>
      <c r="B8" s="56" t="n"/>
      <c r="C8" s="56" t="n"/>
      <c r="D8" s="56" t="n"/>
      <c r="E8" s="56" t="n"/>
      <c r="F8" s="56" t="n"/>
      <c r="G8" s="58" t="n"/>
      <c r="H8" s="58" t="n"/>
      <c r="I8" s="58">
        <f>IF(AND(G8="",H8=""),"",N(G8)+N(H8))</f>
        <v/>
      </c>
      <c r="J8" s="59">
        <f>IFERROR(F8/E8,"")</f>
        <v/>
      </c>
      <c r="K8" s="58">
        <f>IFERROR(IF(ISNUMBER(J8),IF(J8&gt;0.05,"Green",IF(J8&gt;=0.03,"Yellow","Red")),""),"")</f>
        <v/>
      </c>
      <c r="L8" s="59">
        <f>IFERROR(I8/E8,"")</f>
        <v/>
      </c>
      <c r="M8" s="58">
        <f>IFERROR(IF(ISNUMBER(L8),IF(L8&gt;0.05,"Green",IF(L8&gt;=0.03,"Yellow","Red")),""),"")</f>
        <v/>
      </c>
    </row>
    <row r="9" ht="15" customHeight="1" s="35">
      <c r="A9" s="56" t="n"/>
      <c r="B9" s="56" t="n"/>
      <c r="C9" s="56" t="n"/>
      <c r="D9" s="56" t="n"/>
      <c r="E9" s="56" t="n"/>
      <c r="F9" s="56" t="n"/>
      <c r="G9" s="58" t="n"/>
      <c r="H9" s="58" t="n"/>
      <c r="I9" s="58">
        <f>IF(AND(G9="",H9=""),"",N(G9)+N(H9))</f>
        <v/>
      </c>
      <c r="J9" s="59">
        <f>IFERROR(F9/E9,"")</f>
        <v/>
      </c>
      <c r="K9" s="58">
        <f>IFERROR(IF(ISNUMBER(J9),IF(J9&gt;0.05,"Green",IF(J9&gt;=0.03,"Yellow","Red")),""),"")</f>
        <v/>
      </c>
      <c r="L9" s="59">
        <f>IFERROR(I9/E9,"")</f>
        <v/>
      </c>
      <c r="M9" s="58">
        <f>IFERROR(IF(ISNUMBER(L9),IF(L9&gt;0.05,"Green",IF(L9&gt;=0.03,"Yellow","Red")),""),"")</f>
        <v/>
      </c>
    </row>
    <row r="10" ht="15" customHeight="1" s="35">
      <c r="A10" s="56" t="n"/>
      <c r="B10" s="56" t="n"/>
      <c r="C10" s="56" t="n"/>
      <c r="D10" s="56" t="n"/>
      <c r="E10" s="56" t="n"/>
      <c r="F10" s="56" t="n"/>
      <c r="G10" s="58" t="n"/>
      <c r="H10" s="58" t="n"/>
      <c r="I10" s="58">
        <f>IF(AND(G10="",H10=""),"",N(G10)+N(H10))</f>
        <v/>
      </c>
      <c r="J10" s="59">
        <f>IFERROR(F10/E10,"")</f>
        <v/>
      </c>
      <c r="K10" s="58">
        <f>IFERROR(IF(ISNUMBER(J10),IF(J10&gt;0.05,"Green",IF(J10&gt;=0.03,"Yellow","Red")),""),"")</f>
        <v/>
      </c>
      <c r="L10" s="59">
        <f>IFERROR(I10/E10,"")</f>
        <v/>
      </c>
      <c r="M10" s="58">
        <f>IFERROR(IF(ISNUMBER(L10),IF(L10&gt;0.05,"Green",IF(L10&gt;=0.03,"Yellow","Red")),""),"")</f>
        <v/>
      </c>
    </row>
    <row r="11" ht="15" customHeight="1" s="35">
      <c r="A11" s="56" t="n"/>
      <c r="B11" s="56" t="n"/>
      <c r="C11" s="56" t="n"/>
      <c r="D11" s="56" t="n"/>
      <c r="E11" s="56" t="n"/>
      <c r="F11" s="56" t="n"/>
      <c r="G11" s="58" t="n"/>
      <c r="H11" s="58" t="n"/>
      <c r="I11" s="58">
        <f>IF(AND(G11="",H11=""),"",N(G11)+N(H11))</f>
        <v/>
      </c>
      <c r="J11" s="59">
        <f>IFERROR(F11/E11,"")</f>
        <v/>
      </c>
      <c r="K11" s="58">
        <f>IFERROR(IF(ISNUMBER(J11),IF(J11&gt;0.05,"Green",IF(J11&gt;=0.03,"Yellow","Red")),""),"")</f>
        <v/>
      </c>
      <c r="L11" s="59">
        <f>IFERROR(I11/E11,"")</f>
        <v/>
      </c>
      <c r="M11" s="58">
        <f>IFERROR(IF(ISNUMBER(L11),IF(L11&gt;0.05,"Green",IF(L11&gt;=0.03,"Yellow","Red")),""),"")</f>
        <v/>
      </c>
    </row>
    <row r="12" ht="15" customHeight="1" s="35">
      <c r="A12" s="56" t="n"/>
      <c r="B12" s="56" t="n"/>
      <c r="C12" s="56" t="n"/>
      <c r="D12" s="56" t="n"/>
      <c r="E12" s="56" t="n"/>
      <c r="F12" s="56" t="n"/>
      <c r="G12" s="58" t="n"/>
      <c r="H12" s="58" t="n"/>
      <c r="I12" s="58">
        <f>IF(AND(G12="",H12=""),"",N(G12)+N(H12))</f>
        <v/>
      </c>
      <c r="J12" s="59">
        <f>IFERROR(F12/E12,"")</f>
        <v/>
      </c>
      <c r="K12" s="58">
        <f>IFERROR(IF(ISNUMBER(J12),IF(J12&gt;0.05,"Green",IF(J12&gt;=0.03,"Yellow","Red")),""),"")</f>
        <v/>
      </c>
      <c r="L12" s="59">
        <f>IFERROR(I12/E12,"")</f>
        <v/>
      </c>
      <c r="M12" s="58">
        <f>IFERROR(IF(ISNUMBER(L12),IF(L12&gt;0.05,"Green",IF(L12&gt;=0.03,"Yellow","Red")),""),"")</f>
        <v/>
      </c>
    </row>
    <row r="13" ht="15" customHeight="1" s="35">
      <c r="A13" s="56" t="n"/>
      <c r="B13" s="56" t="n"/>
      <c r="C13" s="56" t="n"/>
      <c r="D13" s="56" t="n"/>
      <c r="E13" s="56" t="n"/>
      <c r="F13" s="56" t="n"/>
      <c r="G13" s="58" t="n"/>
      <c r="H13" s="58" t="n"/>
      <c r="I13" s="58">
        <f>IF(AND(G13="",H13=""),"",N(G13)+N(H13))</f>
        <v/>
      </c>
      <c r="J13" s="59">
        <f>IFERROR(F13/E13,"")</f>
        <v/>
      </c>
      <c r="K13" s="58">
        <f>IFERROR(IF(ISNUMBER(J13),IF(J13&gt;0.05,"Green",IF(J13&gt;=0.03,"Yellow","Red")),""),"")</f>
        <v/>
      </c>
      <c r="L13" s="59">
        <f>IFERROR(I13/E13,"")</f>
        <v/>
      </c>
      <c r="M13" s="58">
        <f>IFERROR(IF(ISNUMBER(L13),IF(L13&gt;0.05,"Green",IF(L13&gt;=0.03,"Yellow","Red")),""),"")</f>
        <v/>
      </c>
    </row>
    <row r="14" ht="15" customHeight="1" s="35">
      <c r="A14" s="56" t="n"/>
      <c r="B14" s="56" t="n"/>
      <c r="C14" s="56" t="n"/>
      <c r="D14" s="56" t="n"/>
      <c r="E14" s="56" t="n"/>
      <c r="F14" s="56" t="n"/>
      <c r="G14" s="58" t="n"/>
      <c r="H14" s="58" t="n"/>
      <c r="I14" s="58">
        <f>IF(AND(G14="",H14=""),"",N(G14)+N(H14))</f>
        <v/>
      </c>
      <c r="J14" s="59">
        <f>IFERROR(F14/E14,"")</f>
        <v/>
      </c>
      <c r="K14" s="58">
        <f>IFERROR(IF(ISNUMBER(J14),IF(J14&gt;0.05,"Green",IF(J14&gt;=0.03,"Yellow","Red")),""),"")</f>
        <v/>
      </c>
      <c r="L14" s="59">
        <f>IFERROR(I14/E14,"")</f>
        <v/>
      </c>
      <c r="M14" s="58">
        <f>IFERROR(IF(ISNUMBER(L14),IF(L14&gt;0.05,"Green",IF(L14&gt;=0.03,"Yellow","Red")),""),"")</f>
        <v/>
      </c>
    </row>
    <row r="15" ht="15" customHeight="1" s="35">
      <c r="A15" s="56" t="n"/>
      <c r="B15" s="56" t="n"/>
      <c r="C15" s="56" t="n"/>
      <c r="D15" s="56" t="n"/>
      <c r="E15" s="56" t="n"/>
      <c r="F15" s="56" t="n"/>
      <c r="G15" s="58" t="n"/>
      <c r="H15" s="58" t="n"/>
      <c r="I15" s="58">
        <f>IF(AND(G15="",H15=""),"",N(G15)+N(H15))</f>
        <v/>
      </c>
      <c r="J15" s="59">
        <f>IFERROR(F15/E15,"")</f>
        <v/>
      </c>
      <c r="K15" s="58">
        <f>IFERROR(IF(ISNUMBER(J15),IF(J15&gt;0.05,"Green",IF(J15&gt;=0.03,"Yellow","Red")),""),"")</f>
        <v/>
      </c>
      <c r="L15" s="59">
        <f>IFERROR(I15/E15,"")</f>
        <v/>
      </c>
      <c r="M15" s="58">
        <f>IFERROR(IF(ISNUMBER(L15),IF(L15&gt;0.05,"Green",IF(L15&gt;=0.03,"Yellow","Red")),""),"")</f>
        <v/>
      </c>
    </row>
    <row r="16" ht="15" customHeight="1" s="35">
      <c r="A16" s="56" t="n"/>
      <c r="B16" s="56" t="n"/>
      <c r="C16" s="56" t="n"/>
      <c r="D16" s="56" t="n"/>
      <c r="E16" s="56" t="n"/>
      <c r="F16" s="56" t="n"/>
      <c r="G16" s="58" t="n"/>
      <c r="H16" s="58" t="n"/>
      <c r="I16" s="58">
        <f>IF(AND(G16="",H16=""),"",N(G16)+N(H16))</f>
        <v/>
      </c>
      <c r="J16" s="59">
        <f>IFERROR(F16/E16,"")</f>
        <v/>
      </c>
      <c r="K16" s="58">
        <f>IFERROR(IF(ISNUMBER(J16),IF(J16&gt;0.05,"Green",IF(J16&gt;=0.03,"Yellow","Red")),""),"")</f>
        <v/>
      </c>
      <c r="L16" s="59">
        <f>IFERROR(I16/E16,"")</f>
        <v/>
      </c>
      <c r="M16" s="58">
        <f>IFERROR(IF(ISNUMBER(L16),IF(L16&gt;0.05,"Green",IF(L16&gt;=0.03,"Yellow","Red")),""),"")</f>
        <v/>
      </c>
    </row>
    <row r="17" ht="15" customHeight="1" s="35">
      <c r="A17" s="56" t="n"/>
      <c r="B17" s="56" t="n"/>
      <c r="C17" s="56" t="n"/>
      <c r="D17" s="56" t="n"/>
      <c r="E17" s="56" t="n"/>
      <c r="F17" s="56" t="n"/>
      <c r="G17" s="58" t="n"/>
      <c r="H17" s="58" t="n"/>
      <c r="I17" s="58">
        <f>IF(AND(G17="",H17=""),"",N(G17)+N(H17))</f>
        <v/>
      </c>
      <c r="J17" s="59">
        <f>IFERROR(F17/E17,"")</f>
        <v/>
      </c>
      <c r="K17" s="58">
        <f>IFERROR(IF(ISNUMBER(J17),IF(J17&gt;0.05,"Green",IF(J17&gt;=0.03,"Yellow","Red")),""),"")</f>
        <v/>
      </c>
      <c r="L17" s="59">
        <f>IFERROR(I17/E17,"")</f>
        <v/>
      </c>
      <c r="M17" s="58">
        <f>IFERROR(IF(ISNUMBER(L17),IF(L17&gt;0.05,"Green",IF(L17&gt;=0.03,"Yellow","Red")),""),"")</f>
        <v/>
      </c>
    </row>
    <row r="18" ht="15" customHeight="1" s="35">
      <c r="A18" s="56" t="n"/>
      <c r="B18" s="56" t="n"/>
      <c r="C18" s="56" t="n"/>
      <c r="D18" s="56" t="n"/>
      <c r="E18" s="56" t="n"/>
      <c r="F18" s="56" t="n"/>
      <c r="G18" s="58" t="n"/>
      <c r="H18" s="58" t="n"/>
      <c r="I18" s="58">
        <f>IF(AND(G18="",H18=""),"",N(G18)+N(H18))</f>
        <v/>
      </c>
      <c r="J18" s="59">
        <f>IFERROR(F18/E18,"")</f>
        <v/>
      </c>
      <c r="K18" s="58">
        <f>IFERROR(IF(ISNUMBER(J18),IF(J18&gt;0.05,"Green",IF(J18&gt;=0.03,"Yellow","Red")),""),"")</f>
        <v/>
      </c>
      <c r="L18" s="59">
        <f>IFERROR(I18/E18,"")</f>
        <v/>
      </c>
      <c r="M18" s="58">
        <f>IFERROR(IF(ISNUMBER(L18),IF(L18&gt;0.05,"Green",IF(L18&gt;=0.03,"Yellow","Red")),""),"")</f>
        <v/>
      </c>
    </row>
    <row r="19" ht="15" customHeight="1" s="35">
      <c r="A19" s="56" t="n"/>
      <c r="B19" s="56" t="n"/>
      <c r="C19" s="56" t="n"/>
      <c r="D19" s="56" t="n"/>
      <c r="E19" s="56" t="n"/>
      <c r="F19" s="56" t="n"/>
      <c r="G19" s="58" t="n"/>
      <c r="H19" s="58" t="n"/>
      <c r="I19" s="58">
        <f>IF(AND(G19="",H19=""),"",N(G19)+N(H19))</f>
        <v/>
      </c>
      <c r="J19" s="59">
        <f>IFERROR(F19/E19,"")</f>
        <v/>
      </c>
      <c r="K19" s="58">
        <f>IFERROR(IF(ISNUMBER(J19),IF(J19&gt;0.05,"Green",IF(J19&gt;=0.03,"Yellow","Red")),""),"")</f>
        <v/>
      </c>
      <c r="L19" s="59">
        <f>IFERROR(I19/E19,"")</f>
        <v/>
      </c>
      <c r="M19" s="58">
        <f>IFERROR(IF(ISNUMBER(L19),IF(L19&gt;0.05,"Green",IF(L19&gt;=0.03,"Yellow","Red")),""),"")</f>
        <v/>
      </c>
    </row>
    <row r="20" ht="15" customHeight="1" s="35">
      <c r="A20" s="56" t="n"/>
      <c r="B20" s="56" t="n"/>
      <c r="C20" s="56" t="n"/>
      <c r="D20" s="56" t="n"/>
      <c r="E20" s="56" t="n"/>
      <c r="F20" s="56" t="n"/>
      <c r="G20" s="58" t="n"/>
      <c r="H20" s="58" t="n"/>
      <c r="I20" s="58">
        <f>IF(AND(G20="",H20=""),"",N(G20)+N(H20))</f>
        <v/>
      </c>
      <c r="J20" s="59">
        <f>IFERROR(F20/E20,"")</f>
        <v/>
      </c>
      <c r="K20" s="58">
        <f>IFERROR(IF(ISNUMBER(J20),IF(J20&gt;0.05,"Green",IF(J20&gt;=0.03,"Yellow","Red")),""),"")</f>
        <v/>
      </c>
      <c r="L20" s="59">
        <f>IFERROR(I20/E20,"")</f>
        <v/>
      </c>
      <c r="M20" s="58">
        <f>IFERROR(IF(ISNUMBER(L20),IF(L20&gt;0.05,"Green",IF(L20&gt;=0.03,"Yellow","Red")),""),"")</f>
        <v/>
      </c>
    </row>
    <row r="21" ht="15" customHeight="1" s="35">
      <c r="A21" s="56" t="n"/>
      <c r="B21" s="56" t="n"/>
      <c r="C21" s="56" t="n"/>
      <c r="D21" s="56" t="n"/>
      <c r="E21" s="56" t="n"/>
      <c r="F21" s="56" t="n"/>
      <c r="G21" s="58" t="n"/>
      <c r="H21" s="58" t="n"/>
      <c r="I21" s="58">
        <f>IF(AND(G21="",H21=""),"",N(G21)+N(H21))</f>
        <v/>
      </c>
      <c r="J21" s="59">
        <f>IFERROR(F21/E21,"")</f>
        <v/>
      </c>
      <c r="K21" s="58">
        <f>IFERROR(IF(ISNUMBER(J21),IF(J21&gt;0.05,"Green",IF(J21&gt;=0.03,"Yellow","Red")),""),"")</f>
        <v/>
      </c>
      <c r="L21" s="59">
        <f>IFERROR(I21/E21,"")</f>
        <v/>
      </c>
      <c r="M21" s="58">
        <f>IFERROR(IF(ISNUMBER(L21),IF(L21&gt;0.05,"Green",IF(L21&gt;=0.03,"Yellow","Red")),""),"")</f>
        <v/>
      </c>
    </row>
    <row r="22" ht="15" customHeight="1" s="35">
      <c r="A22" s="56" t="n"/>
      <c r="B22" s="56" t="n"/>
      <c r="C22" s="56" t="n"/>
      <c r="D22" s="56" t="n"/>
      <c r="E22" s="56" t="n"/>
      <c r="F22" s="56" t="n"/>
      <c r="G22" s="58" t="n"/>
      <c r="H22" s="58" t="n"/>
      <c r="I22" s="58">
        <f>IF(AND(G22="",H22=""),"",N(G22)+N(H22))</f>
        <v/>
      </c>
      <c r="J22" s="59">
        <f>IFERROR(F22/E22,"")</f>
        <v/>
      </c>
      <c r="K22" s="58">
        <f>IFERROR(IF(ISNUMBER(J22),IF(J22&gt;0.05,"Green",IF(J22&gt;=0.03,"Yellow","Red")),""),"")</f>
        <v/>
      </c>
      <c r="L22" s="59">
        <f>IFERROR(I22/E22,"")</f>
        <v/>
      </c>
      <c r="M22" s="58">
        <f>IFERROR(IF(ISNUMBER(L22),IF(L22&gt;0.05,"Green",IF(L22&gt;=0.03,"Yellow","Red")),""),"")</f>
        <v/>
      </c>
    </row>
    <row r="23" ht="15" customHeight="1" s="35">
      <c r="A23" s="56" t="n"/>
      <c r="B23" s="56" t="n"/>
      <c r="C23" s="56" t="n"/>
      <c r="D23" s="56" t="n"/>
      <c r="E23" s="56" t="n"/>
      <c r="F23" s="56" t="n"/>
      <c r="G23" s="58" t="n"/>
      <c r="H23" s="58" t="n"/>
      <c r="I23" s="58">
        <f>IF(AND(G23="",H23=""),"",N(G23)+N(H23))</f>
        <v/>
      </c>
      <c r="J23" s="59">
        <f>IFERROR(F23/E23,"")</f>
        <v/>
      </c>
      <c r="K23" s="58">
        <f>IFERROR(IF(ISNUMBER(J23),IF(J23&gt;0.05,"Green",IF(J23&gt;=0.03,"Yellow","Red")),""),"")</f>
        <v/>
      </c>
      <c r="L23" s="59">
        <f>IFERROR(I23/E23,"")</f>
        <v/>
      </c>
      <c r="M23" s="58">
        <f>IFERROR(IF(ISNUMBER(L23),IF(L23&gt;0.05,"Green",IF(L23&gt;=0.03,"Yellow","Red")),""),"")</f>
        <v/>
      </c>
    </row>
    <row r="24" ht="15" customHeight="1" s="35">
      <c r="A24" s="56" t="n"/>
      <c r="B24" s="56" t="n"/>
      <c r="C24" s="56" t="n"/>
      <c r="D24" s="56" t="n"/>
      <c r="E24" s="56" t="n"/>
      <c r="F24" s="56" t="n"/>
      <c r="G24" s="58" t="n"/>
      <c r="H24" s="58" t="n"/>
      <c r="I24" s="58">
        <f>IF(AND(G24="",H24=""),"",N(G24)+N(H24))</f>
        <v/>
      </c>
      <c r="J24" s="59">
        <f>IFERROR(F24/E24,"")</f>
        <v/>
      </c>
      <c r="K24" s="58">
        <f>IFERROR(IF(ISNUMBER(J24),IF(J24&gt;0.05,"Green",IF(J24&gt;=0.03,"Yellow","Red")),""),"")</f>
        <v/>
      </c>
      <c r="L24" s="59">
        <f>IFERROR(I24/E24,"")</f>
        <v/>
      </c>
      <c r="M24" s="58">
        <f>IFERROR(IF(ISNUMBER(L24),IF(L24&gt;0.05,"Green",IF(L24&gt;=0.03,"Yellow","Red")),""),"")</f>
        <v/>
      </c>
    </row>
    <row r="25" ht="15" customHeight="1" s="35">
      <c r="A25" s="56" t="n"/>
      <c r="B25" s="56" t="n"/>
      <c r="C25" s="56" t="n"/>
      <c r="D25" s="56" t="n"/>
      <c r="E25" s="56" t="n"/>
      <c r="F25" s="56" t="n"/>
      <c r="G25" s="58" t="n"/>
      <c r="H25" s="58" t="n"/>
      <c r="I25" s="58">
        <f>IF(AND(G25="",H25=""),"",N(G25)+N(H25))</f>
        <v/>
      </c>
      <c r="J25" s="59">
        <f>IFERROR(F25/E25,"")</f>
        <v/>
      </c>
      <c r="K25" s="58">
        <f>IFERROR(IF(ISNUMBER(J25),IF(J25&gt;0.05,"Green",IF(J25&gt;=0.03,"Yellow","Red")),""),"")</f>
        <v/>
      </c>
      <c r="L25" s="59">
        <f>IFERROR(I25/E25,"")</f>
        <v/>
      </c>
      <c r="M25" s="58">
        <f>IFERROR(IF(ISNUMBER(L25),IF(L25&gt;0.05,"Green",IF(L25&gt;=0.03,"Yellow","Red")),""),"")</f>
        <v/>
      </c>
    </row>
    <row r="26" ht="15" customHeight="1" s="35">
      <c r="A26" s="56" t="n"/>
      <c r="B26" s="56" t="n"/>
      <c r="C26" s="56" t="n"/>
      <c r="D26" s="56" t="n"/>
      <c r="E26" s="56" t="n"/>
      <c r="F26" s="56" t="n"/>
      <c r="G26" s="58" t="n"/>
      <c r="H26" s="58" t="n"/>
      <c r="I26" s="58">
        <f>IF(AND(G26="",H26=""),"",N(G26)+N(H26))</f>
        <v/>
      </c>
      <c r="J26" s="59">
        <f>IFERROR(F26/E26,"")</f>
        <v/>
      </c>
      <c r="K26" s="58">
        <f>IFERROR(IF(ISNUMBER(J26),IF(J26&gt;0.05,"Green",IF(J26&gt;=0.03,"Yellow","Red")),""),"")</f>
        <v/>
      </c>
      <c r="L26" s="59">
        <f>IFERROR(I26/E26,"")</f>
        <v/>
      </c>
      <c r="M26" s="58">
        <f>IFERROR(IF(ISNUMBER(L26),IF(L26&gt;0.05,"Green",IF(L26&gt;=0.03,"Yellow","Red")),""),"")</f>
        <v/>
      </c>
    </row>
    <row r="27" ht="15" customHeight="1" s="35">
      <c r="A27" s="56" t="n"/>
      <c r="B27" s="56" t="n"/>
      <c r="C27" s="56" t="n"/>
      <c r="D27" s="56" t="n"/>
      <c r="E27" s="56" t="n"/>
      <c r="F27" s="56" t="n"/>
      <c r="G27" s="58" t="n"/>
      <c r="H27" s="58" t="n"/>
      <c r="I27" s="58">
        <f>IF(AND(G27="",H27=""),"",N(G27)+N(H27))</f>
        <v/>
      </c>
      <c r="J27" s="59">
        <f>IFERROR(F27/E27,"")</f>
        <v/>
      </c>
      <c r="K27" s="58">
        <f>IFERROR(IF(ISNUMBER(J27),IF(J27&gt;0.05,"Green",IF(J27&gt;=0.03,"Yellow","Red")),""),"")</f>
        <v/>
      </c>
      <c r="L27" s="59">
        <f>IFERROR(I27/E27,"")</f>
        <v/>
      </c>
      <c r="M27" s="58">
        <f>IFERROR(IF(ISNUMBER(L27),IF(L27&gt;0.05,"Green",IF(L27&gt;=0.03,"Yellow","Red")),""),"")</f>
        <v/>
      </c>
    </row>
    <row r="28" ht="15" customHeight="1" s="35">
      <c r="A28" s="56" t="n"/>
      <c r="B28" s="56" t="n"/>
      <c r="C28" s="56" t="n"/>
      <c r="D28" s="56" t="n"/>
      <c r="E28" s="56" t="n"/>
      <c r="F28" s="56" t="n"/>
      <c r="G28" s="58" t="n"/>
      <c r="H28" s="58" t="n"/>
      <c r="I28" s="58">
        <f>IF(AND(G28="",H28=""),"",N(G28)+N(H28))</f>
        <v/>
      </c>
      <c r="J28" s="59">
        <f>IFERROR(F28/E28,"")</f>
        <v/>
      </c>
      <c r="K28" s="58">
        <f>IFERROR(IF(ISNUMBER(J28),IF(J28&gt;0.05,"Green",IF(J28&gt;=0.03,"Yellow","Red")),""),"")</f>
        <v/>
      </c>
      <c r="L28" s="59">
        <f>IFERROR(I28/E28,"")</f>
        <v/>
      </c>
      <c r="M28" s="58">
        <f>IFERROR(IF(ISNUMBER(L28),IF(L28&gt;0.05,"Green",IF(L28&gt;=0.03,"Yellow","Red")),""),"")</f>
        <v/>
      </c>
    </row>
    <row r="29" ht="15" customHeight="1" s="35">
      <c r="A29" s="56" t="n"/>
      <c r="B29" s="56" t="n"/>
      <c r="C29" s="56" t="n"/>
      <c r="D29" s="56" t="n"/>
      <c r="E29" s="56" t="n"/>
      <c r="F29" s="56" t="n"/>
      <c r="G29" s="58" t="n"/>
      <c r="H29" s="58" t="n"/>
      <c r="I29" s="58">
        <f>IF(AND(G29="",H29=""),"",N(G29)+N(H29))</f>
        <v/>
      </c>
      <c r="J29" s="59">
        <f>IFERROR(F29/E29,"")</f>
        <v/>
      </c>
      <c r="K29" s="58">
        <f>IFERROR(IF(ISNUMBER(J29),IF(J29&gt;0.05,"Green",IF(J29&gt;=0.03,"Yellow","Red")),""),"")</f>
        <v/>
      </c>
      <c r="L29" s="59">
        <f>IFERROR(I29/E29,"")</f>
        <v/>
      </c>
      <c r="M29" s="58">
        <f>IFERROR(IF(ISNUMBER(L29),IF(L29&gt;0.05,"Green",IF(L29&gt;=0.03,"Yellow","Red")),""),"")</f>
        <v/>
      </c>
    </row>
    <row r="30" ht="15" customHeight="1" s="35">
      <c r="A30" s="56" t="n"/>
      <c r="B30" s="56" t="n"/>
      <c r="C30" s="56" t="n"/>
      <c r="D30" s="56" t="n"/>
      <c r="E30" s="56" t="n"/>
      <c r="F30" s="56" t="n"/>
      <c r="G30" s="58" t="n"/>
      <c r="H30" s="58" t="n"/>
      <c r="I30" s="58">
        <f>IF(AND(G30="",H30=""),"",N(G30)+N(H30))</f>
        <v/>
      </c>
      <c r="J30" s="59">
        <f>IFERROR(F30/E30,"")</f>
        <v/>
      </c>
      <c r="K30" s="58">
        <f>IFERROR(IF(ISNUMBER(J30),IF(J30&gt;0.05,"Green",IF(J30&gt;=0.03,"Yellow","Red")),""),"")</f>
        <v/>
      </c>
      <c r="L30" s="59">
        <f>IFERROR(I30/E30,"")</f>
        <v/>
      </c>
      <c r="M30" s="58">
        <f>IFERROR(IF(ISNUMBER(L30),IF(L30&gt;0.05,"Green",IF(L30&gt;=0.03,"Yellow","Red")),""),"")</f>
        <v/>
      </c>
    </row>
    <row r="31" ht="15" customHeight="1" s="35">
      <c r="A31" s="56" t="n"/>
      <c r="B31" s="56" t="n"/>
      <c r="C31" s="56" t="n"/>
      <c r="D31" s="56" t="n"/>
      <c r="E31" s="56" t="n"/>
      <c r="F31" s="56" t="n"/>
      <c r="G31" s="58" t="n"/>
      <c r="H31" s="58" t="n"/>
      <c r="I31" s="58">
        <f>IF(AND(G31="",H31=""),"",N(G31)+N(H31))</f>
        <v/>
      </c>
      <c r="J31" s="59">
        <f>IFERROR(F31/E31,"")</f>
        <v/>
      </c>
      <c r="K31" s="58">
        <f>IFERROR(IF(ISNUMBER(J31),IF(J31&gt;0.05,"Green",IF(J31&gt;=0.03,"Yellow","Red")),""),"")</f>
        <v/>
      </c>
      <c r="L31" s="59">
        <f>IFERROR(I31/E31,"")</f>
        <v/>
      </c>
      <c r="M31" s="58">
        <f>IFERROR(IF(ISNUMBER(L31),IF(L31&gt;0.05,"Green",IF(L31&gt;=0.03,"Yellow","Red")),""),"")</f>
        <v/>
      </c>
    </row>
    <row r="32" ht="15" customHeight="1" s="35">
      <c r="A32" s="56" t="n"/>
      <c r="B32" s="56" t="n"/>
      <c r="C32" s="56" t="n"/>
      <c r="D32" s="56" t="n"/>
      <c r="E32" s="56" t="n"/>
      <c r="F32" s="56" t="n"/>
      <c r="G32" s="58" t="n"/>
      <c r="H32" s="58" t="n"/>
      <c r="I32" s="58">
        <f>IF(AND(G32="",H32=""),"",N(G32)+N(H32))</f>
        <v/>
      </c>
      <c r="J32" s="59">
        <f>IFERROR(F32/E32,"")</f>
        <v/>
      </c>
      <c r="K32" s="58">
        <f>IFERROR(IF(ISNUMBER(J32),IF(J32&gt;0.05,"Green",IF(J32&gt;=0.03,"Yellow","Red")),""),"")</f>
        <v/>
      </c>
      <c r="L32" s="59">
        <f>IFERROR(I32/E32,"")</f>
        <v/>
      </c>
      <c r="M32" s="58">
        <f>IFERROR(IF(ISNUMBER(L32),IF(L32&gt;0.05,"Green",IF(L32&gt;=0.03,"Yellow","Red")),""),"")</f>
        <v/>
      </c>
    </row>
    <row r="33" ht="15" customHeight="1" s="35">
      <c r="A33" s="56" t="n"/>
      <c r="B33" s="56" t="n"/>
      <c r="C33" s="56" t="n"/>
      <c r="D33" s="56" t="n"/>
      <c r="E33" s="56" t="n"/>
      <c r="F33" s="56" t="n"/>
      <c r="G33" s="58" t="n"/>
      <c r="H33" s="58" t="n"/>
      <c r="I33" s="58">
        <f>IF(AND(G33="",H33=""),"",N(G33)+N(H33))</f>
        <v/>
      </c>
      <c r="J33" s="59">
        <f>IFERROR(F33/E33,"")</f>
        <v/>
      </c>
      <c r="K33" s="58">
        <f>IFERROR(IF(ISNUMBER(J33),IF(J33&gt;0.05,"Green",IF(J33&gt;=0.03,"Yellow","Red")),""),"")</f>
        <v/>
      </c>
      <c r="L33" s="59">
        <f>IFERROR(I33/E33,"")</f>
        <v/>
      </c>
      <c r="M33" s="58">
        <f>IFERROR(IF(ISNUMBER(L33),IF(L33&gt;0.05,"Green",IF(L33&gt;=0.03,"Yellow","Red")),""),"")</f>
        <v/>
      </c>
    </row>
    <row r="34" ht="15" customHeight="1" s="35">
      <c r="A34" s="56" t="n"/>
      <c r="B34" s="56" t="n"/>
      <c r="C34" s="56" t="n"/>
      <c r="D34" s="56" t="n"/>
      <c r="E34" s="56" t="n"/>
      <c r="F34" s="56" t="n"/>
      <c r="G34" s="58" t="n"/>
      <c r="H34" s="58" t="n"/>
      <c r="I34" s="58">
        <f>IF(AND(G34="",H34=""),"",N(G34)+N(H34))</f>
        <v/>
      </c>
      <c r="J34" s="59">
        <f>IFERROR(F34/E34,"")</f>
        <v/>
      </c>
      <c r="K34" s="58">
        <f>IFERROR(IF(ISNUMBER(J34),IF(J34&gt;0.05,"Green",IF(J34&gt;=0.03,"Yellow","Red")),""),"")</f>
        <v/>
      </c>
      <c r="L34" s="59">
        <f>IFERROR(I34/E34,"")</f>
        <v/>
      </c>
      <c r="M34" s="58">
        <f>IFERROR(IF(ISNUMBER(L34),IF(L34&gt;0.05,"Green",IF(L34&gt;=0.03,"Yellow","Red")),""),"")</f>
        <v/>
      </c>
    </row>
    <row r="35" ht="15" customHeight="1" s="35">
      <c r="A35" s="56" t="n"/>
      <c r="B35" s="56" t="n"/>
      <c r="C35" s="56" t="n"/>
      <c r="D35" s="56" t="n"/>
      <c r="E35" s="56" t="n"/>
      <c r="F35" s="56" t="n"/>
      <c r="G35" s="58" t="n"/>
      <c r="H35" s="58" t="n"/>
      <c r="I35" s="58">
        <f>IF(AND(G35="",H35=""),"",N(G35)+N(H35))</f>
        <v/>
      </c>
      <c r="J35" s="59">
        <f>IFERROR(F35/E35,"")</f>
        <v/>
      </c>
      <c r="K35" s="58">
        <f>IFERROR(IF(ISNUMBER(J35),IF(J35&gt;0.05,"Green",IF(J35&gt;=0.03,"Yellow","Red")),""),"")</f>
        <v/>
      </c>
      <c r="L35" s="59">
        <f>IFERROR(I35/E35,"")</f>
        <v/>
      </c>
      <c r="M35" s="58">
        <f>IFERROR(IF(ISNUMBER(L35),IF(L35&gt;0.05,"Green",IF(L35&gt;=0.03,"Yellow","Red")),""),"")</f>
        <v/>
      </c>
    </row>
    <row r="38" ht="21.75" customHeight="1" s="35">
      <c r="A38" s="61" t="inlineStr">
        <is>
          <t>Table B — Website Traffic Monthly</t>
        </is>
      </c>
    </row>
    <row r="39" ht="31.5" customHeight="1" s="35">
      <c r="A39" s="47" t="inlineStr">
        <is>
          <t>Year</t>
        </is>
      </c>
      <c r="B39" s="47" t="inlineStr">
        <is>
          <t>Month</t>
        </is>
      </c>
      <c r="C39" s="47" t="inlineStr">
        <is>
          <t>Single-Page (Bounce) Visitors (#)</t>
        </is>
      </c>
      <c r="D39" s="47" t="inlineStr">
        <is>
          <t>Total Visitors (#)</t>
        </is>
      </c>
      <c r="E39" s="47" t="inlineStr">
        <is>
          <t>Total Sessions (#)</t>
        </is>
      </c>
      <c r="F39" s="47" t="inlineStr">
        <is>
          <t>Total Time Spent by All Visitors (Minutes)</t>
        </is>
      </c>
      <c r="G39" s="47" t="inlineStr">
        <is>
          <t>Bounce Rate %</t>
        </is>
      </c>
      <c r="H39" s="47" t="inlineStr">
        <is>
          <t>Avg Session Duration (min)</t>
        </is>
      </c>
      <c r="I39" s="47" t="inlineStr">
        <is>
          <t>Session Duration Status</t>
        </is>
      </c>
    </row>
    <row r="40" ht="15" customHeight="1" s="35">
      <c r="A40" s="52" t="n">
        <v>2026</v>
      </c>
      <c r="B40" s="52" t="inlineStr">
        <is>
          <t>August</t>
        </is>
      </c>
      <c r="C40" s="52" t="n">
        <v>3400</v>
      </c>
      <c r="D40" s="52" t="n">
        <v>12000</v>
      </c>
      <c r="E40" s="52" t="n">
        <v>15500</v>
      </c>
      <c r="F40" s="52" t="n">
        <v>54250</v>
      </c>
      <c r="G40" s="54">
        <f>IFERROR(C40/D40,"")</f>
        <v/>
      </c>
      <c r="H40" s="68">
        <f>IFERROR(F40/E40,"")</f>
        <v/>
      </c>
      <c r="I40" s="52">
        <f>IFERROR(IF(ISNUMBER(H40),IF(H40&gt;3,"Green",IF(H40&gt;=1,"Yellow","Red")),""),"")</f>
        <v/>
      </c>
    </row>
    <row r="41" ht="15" customHeight="1" s="35">
      <c r="A41" s="56" t="n"/>
      <c r="B41" s="56" t="n"/>
      <c r="C41" s="56" t="n"/>
      <c r="D41" s="56" t="n"/>
      <c r="E41" s="56" t="n"/>
      <c r="F41" s="56" t="n"/>
      <c r="G41" s="59">
        <f>IFERROR(C41/D41,"")</f>
        <v/>
      </c>
      <c r="H41" s="69">
        <f>IFERROR(F41/E41,"")</f>
        <v/>
      </c>
      <c r="I41" s="58">
        <f>IFERROR(IF(ISNUMBER(H41),IF(H41&gt;3,"Green",IF(H41&gt;=1,"Yellow","Red")),""),"")</f>
        <v/>
      </c>
    </row>
    <row r="42" ht="15" customHeight="1" s="35">
      <c r="A42" s="56" t="n"/>
      <c r="B42" s="56" t="n"/>
      <c r="C42" s="56" t="n"/>
      <c r="D42" s="56" t="n"/>
      <c r="E42" s="56" t="n"/>
      <c r="F42" s="56" t="n"/>
      <c r="G42" s="59">
        <f>IFERROR(C42/D42,"")</f>
        <v/>
      </c>
      <c r="H42" s="69">
        <f>IFERROR(F42/E42,"")</f>
        <v/>
      </c>
      <c r="I42" s="58">
        <f>IFERROR(IF(ISNUMBER(H42),IF(H42&gt;3,"Green",IF(H42&gt;=1,"Yellow","Red")),""),"")</f>
        <v/>
      </c>
    </row>
    <row r="43" ht="15" customHeight="1" s="35">
      <c r="A43" s="56" t="n"/>
      <c r="B43" s="56" t="n"/>
      <c r="C43" s="56" t="n"/>
      <c r="D43" s="56" t="n"/>
      <c r="E43" s="56" t="n"/>
      <c r="F43" s="56" t="n"/>
      <c r="G43" s="59">
        <f>IFERROR(C43/D43,"")</f>
        <v/>
      </c>
      <c r="H43" s="69">
        <f>IFERROR(F43/E43,"")</f>
        <v/>
      </c>
      <c r="I43" s="58">
        <f>IFERROR(IF(ISNUMBER(H43),IF(H43&gt;3,"Green",IF(H43&gt;=1,"Yellow","Red")),""),"")</f>
        <v/>
      </c>
    </row>
    <row r="44" ht="15" customHeight="1" s="35">
      <c r="A44" s="56" t="n"/>
      <c r="B44" s="56" t="n"/>
      <c r="C44" s="56" t="n"/>
      <c r="D44" s="56" t="n"/>
      <c r="E44" s="56" t="n"/>
      <c r="F44" s="56" t="n"/>
      <c r="G44" s="59">
        <f>IFERROR(C44/D44,"")</f>
        <v/>
      </c>
      <c r="H44" s="69">
        <f>IFERROR(F44/E44,"")</f>
        <v/>
      </c>
      <c r="I44" s="58">
        <f>IFERROR(IF(ISNUMBER(H44),IF(H44&gt;3,"Green",IF(H44&gt;=1,"Yellow","Red")),""),"")</f>
        <v/>
      </c>
    </row>
    <row r="45" ht="15" customHeight="1" s="35">
      <c r="A45" s="56" t="n"/>
      <c r="B45" s="56" t="n"/>
      <c r="C45" s="56" t="n"/>
      <c r="D45" s="56" t="n"/>
      <c r="E45" s="56" t="n"/>
      <c r="F45" s="56" t="n"/>
      <c r="G45" s="59">
        <f>IFERROR(C45/D45,"")</f>
        <v/>
      </c>
      <c r="H45" s="69">
        <f>IFERROR(F45/E45,"")</f>
        <v/>
      </c>
      <c r="I45" s="58">
        <f>IFERROR(IF(ISNUMBER(H45),IF(H45&gt;3,"Green",IF(H45&gt;=1,"Yellow","Red")),""),"")</f>
        <v/>
      </c>
    </row>
    <row r="46" ht="15" customHeight="1" s="35">
      <c r="A46" s="56" t="n"/>
      <c r="B46" s="56" t="n"/>
      <c r="C46" s="56" t="n"/>
      <c r="D46" s="56" t="n"/>
      <c r="E46" s="56" t="n"/>
      <c r="F46" s="56" t="n"/>
      <c r="G46" s="59">
        <f>IFERROR(C46/D46,"")</f>
        <v/>
      </c>
      <c r="H46" s="69">
        <f>IFERROR(F46/E46,"")</f>
        <v/>
      </c>
      <c r="I46" s="58">
        <f>IFERROR(IF(ISNUMBER(H46),IF(H46&gt;3,"Green",IF(H46&gt;=1,"Yellow","Red")),""),"")</f>
        <v/>
      </c>
    </row>
    <row r="47" ht="15" customHeight="1" s="35">
      <c r="A47" s="56" t="n"/>
      <c r="B47" s="56" t="n"/>
      <c r="C47" s="56" t="n"/>
      <c r="D47" s="56" t="n"/>
      <c r="E47" s="56" t="n"/>
      <c r="F47" s="56" t="n"/>
      <c r="G47" s="59">
        <f>IFERROR(C47/D47,"")</f>
        <v/>
      </c>
      <c r="H47" s="69">
        <f>IFERROR(F47/E47,"")</f>
        <v/>
      </c>
      <c r="I47" s="58">
        <f>IFERROR(IF(ISNUMBER(H47),IF(H47&gt;3,"Green",IF(H47&gt;=1,"Yellow","Red")),""),"")</f>
        <v/>
      </c>
    </row>
    <row r="48" ht="15" customHeight="1" s="35">
      <c r="A48" s="56" t="n"/>
      <c r="B48" s="56" t="n"/>
      <c r="C48" s="56" t="n"/>
      <c r="D48" s="56" t="n"/>
      <c r="E48" s="56" t="n"/>
      <c r="F48" s="56" t="n"/>
      <c r="G48" s="59">
        <f>IFERROR(C48/D48,"")</f>
        <v/>
      </c>
      <c r="H48" s="69">
        <f>IFERROR(F48/E48,"")</f>
        <v/>
      </c>
      <c r="I48" s="58">
        <f>IFERROR(IF(ISNUMBER(H48),IF(H48&gt;3,"Green",IF(H48&gt;=1,"Yellow","Red")),""),"")</f>
        <v/>
      </c>
    </row>
    <row r="49" ht="15" customHeight="1" s="35">
      <c r="A49" s="56" t="n"/>
      <c r="B49" s="56" t="n"/>
      <c r="C49" s="56" t="n"/>
      <c r="D49" s="56" t="n"/>
      <c r="E49" s="56" t="n"/>
      <c r="F49" s="56" t="n"/>
      <c r="G49" s="59">
        <f>IFERROR(C49/D49,"")</f>
        <v/>
      </c>
      <c r="H49" s="69">
        <f>IFERROR(F49/E49,"")</f>
        <v/>
      </c>
      <c r="I49" s="58">
        <f>IFERROR(IF(ISNUMBER(H49),IF(H49&gt;3,"Green",IF(H49&gt;=1,"Yellow","Red")),""),"")</f>
        <v/>
      </c>
    </row>
    <row r="50" ht="15" customHeight="1" s="35">
      <c r="A50" s="56" t="n"/>
      <c r="B50" s="56" t="n"/>
      <c r="C50" s="56" t="n"/>
      <c r="D50" s="56" t="n"/>
      <c r="E50" s="56" t="n"/>
      <c r="F50" s="56" t="n"/>
      <c r="G50" s="59">
        <f>IFERROR(C50/D50,"")</f>
        <v/>
      </c>
      <c r="H50" s="69">
        <f>IFERROR(F50/E50,"")</f>
        <v/>
      </c>
      <c r="I50" s="58">
        <f>IFERROR(IF(ISNUMBER(H50),IF(H50&gt;3,"Green",IF(H50&gt;=1,"Yellow","Red")),""),"")</f>
        <v/>
      </c>
    </row>
    <row r="51" ht="15" customHeight="1" s="35">
      <c r="A51" s="56" t="n"/>
      <c r="B51" s="56" t="n"/>
      <c r="C51" s="56" t="n"/>
      <c r="D51" s="56" t="n"/>
      <c r="E51" s="56" t="n"/>
      <c r="F51" s="56" t="n"/>
      <c r="G51" s="59">
        <f>IFERROR(C51/D51,"")</f>
        <v/>
      </c>
      <c r="H51" s="69">
        <f>IFERROR(F51/E51,"")</f>
        <v/>
      </c>
      <c r="I51" s="58">
        <f>IFERROR(IF(ISNUMBER(H51),IF(H51&gt;3,"Green",IF(H51&gt;=1,"Yellow","Red")),""),"")</f>
        <v/>
      </c>
    </row>
    <row r="52" ht="15" customHeight="1" s="35">
      <c r="A52" s="56" t="n"/>
      <c r="B52" s="56" t="n"/>
      <c r="C52" s="56" t="n"/>
      <c r="D52" s="56" t="n"/>
      <c r="E52" s="56" t="n"/>
      <c r="F52" s="56" t="n"/>
      <c r="G52" s="59">
        <f>IFERROR(C52/D52,"")</f>
        <v/>
      </c>
      <c r="H52" s="69">
        <f>IFERROR(F52/E52,"")</f>
        <v/>
      </c>
      <c r="I52" s="58">
        <f>IFERROR(IF(ISNUMBER(H52),IF(H52&gt;3,"Green",IF(H52&gt;=1,"Yellow","Red")),""),"")</f>
        <v/>
      </c>
    </row>
    <row r="53" ht="15" customHeight="1" s="35">
      <c r="A53" s="56" t="n"/>
      <c r="B53" s="56" t="n"/>
      <c r="C53" s="56" t="n"/>
      <c r="D53" s="56" t="n"/>
      <c r="E53" s="56" t="n"/>
      <c r="F53" s="56" t="n"/>
      <c r="G53" s="59">
        <f>IFERROR(C53/D53,"")</f>
        <v/>
      </c>
      <c r="H53" s="69">
        <f>IFERROR(F53/E53,"")</f>
        <v/>
      </c>
      <c r="I53" s="58">
        <f>IFERROR(IF(ISNUMBER(H53),IF(H53&gt;3,"Green",IF(H53&gt;=1,"Yellow","Red")),""),"")</f>
        <v/>
      </c>
    </row>
    <row r="54" ht="15" customHeight="1" s="35">
      <c r="A54" s="56" t="n"/>
      <c r="B54" s="56" t="n"/>
      <c r="C54" s="56" t="n"/>
      <c r="D54" s="56" t="n"/>
      <c r="E54" s="56" t="n"/>
      <c r="F54" s="56" t="n"/>
      <c r="G54" s="59">
        <f>IFERROR(C54/D54,"")</f>
        <v/>
      </c>
      <c r="H54" s="69">
        <f>IFERROR(F54/E54,"")</f>
        <v/>
      </c>
      <c r="I54" s="58">
        <f>IFERROR(IF(ISNUMBER(H54),IF(H54&gt;3,"Green",IF(H54&gt;=1,"Yellow","Red")),""),"")</f>
        <v/>
      </c>
    </row>
    <row r="55" ht="15" customHeight="1" s="35">
      <c r="A55" s="56" t="n"/>
      <c r="B55" s="56" t="n"/>
      <c r="C55" s="56" t="n"/>
      <c r="D55" s="56" t="n"/>
      <c r="E55" s="56" t="n"/>
      <c r="F55" s="56" t="n"/>
      <c r="G55" s="59">
        <f>IFERROR(C55/D55,"")</f>
        <v/>
      </c>
      <c r="H55" s="69">
        <f>IFERROR(F55/E55,"")</f>
        <v/>
      </c>
      <c r="I55" s="58">
        <f>IFERROR(IF(ISNUMBER(H55),IF(H55&gt;3,"Green",IF(H55&gt;=1,"Yellow","Red")),""),"")</f>
        <v/>
      </c>
    </row>
    <row r="56" ht="15" customHeight="1" s="35">
      <c r="A56" s="56" t="n"/>
      <c r="B56" s="56" t="n"/>
      <c r="C56" s="56" t="n"/>
      <c r="D56" s="56" t="n"/>
      <c r="E56" s="56" t="n"/>
      <c r="F56" s="56" t="n"/>
      <c r="G56" s="59">
        <f>IFERROR(C56/D56,"")</f>
        <v/>
      </c>
      <c r="H56" s="69">
        <f>IFERROR(F56/E56,"")</f>
        <v/>
      </c>
      <c r="I56" s="58">
        <f>IFERROR(IF(ISNUMBER(H56),IF(H56&gt;3,"Green",IF(H56&gt;=1,"Yellow","Red")),""),"")</f>
        <v/>
      </c>
    </row>
    <row r="57" ht="15" customHeight="1" s="35">
      <c r="A57" s="56" t="n"/>
      <c r="B57" s="56" t="n"/>
      <c r="C57" s="56" t="n"/>
      <c r="D57" s="56" t="n"/>
      <c r="E57" s="56" t="n"/>
      <c r="F57" s="56" t="n"/>
      <c r="G57" s="59">
        <f>IFERROR(C57/D57,"")</f>
        <v/>
      </c>
      <c r="H57" s="69">
        <f>IFERROR(F57/E57,"")</f>
        <v/>
      </c>
      <c r="I57" s="58">
        <f>IFERROR(IF(ISNUMBER(H57),IF(H57&gt;3,"Green",IF(H57&gt;=1,"Yellow","Red")),""),"")</f>
        <v/>
      </c>
    </row>
    <row r="58" ht="15" customHeight="1" s="35">
      <c r="A58" s="56" t="n"/>
      <c r="B58" s="56" t="n"/>
      <c r="C58" s="56" t="n"/>
      <c r="D58" s="56" t="n"/>
      <c r="E58" s="56" t="n"/>
      <c r="F58" s="56" t="n"/>
      <c r="G58" s="59">
        <f>IFERROR(C58/D58,"")</f>
        <v/>
      </c>
      <c r="H58" s="69">
        <f>IFERROR(F58/E58,"")</f>
        <v/>
      </c>
      <c r="I58" s="58">
        <f>IFERROR(IF(ISNUMBER(H58),IF(H58&gt;3,"Green",IF(H58&gt;=1,"Yellow","Red")),""),"")</f>
        <v/>
      </c>
    </row>
    <row r="59" ht="15" customHeight="1" s="35">
      <c r="A59" s="56" t="n"/>
      <c r="B59" s="56" t="n"/>
      <c r="C59" s="56" t="n"/>
      <c r="D59" s="56" t="n"/>
      <c r="E59" s="56" t="n"/>
      <c r="F59" s="56" t="n"/>
      <c r="G59" s="59">
        <f>IFERROR(C59/D59,"")</f>
        <v/>
      </c>
      <c r="H59" s="69">
        <f>IFERROR(F59/E59,"")</f>
        <v/>
      </c>
      <c r="I59" s="58">
        <f>IFERROR(IF(ISNUMBER(H59),IF(H59&gt;3,"Green",IF(H59&gt;=1,"Yellow","Red")),""),"")</f>
        <v/>
      </c>
    </row>
    <row r="60" ht="15" customHeight="1" s="35">
      <c r="A60" s="56" t="n"/>
      <c r="B60" s="56" t="n"/>
      <c r="C60" s="56" t="n"/>
      <c r="D60" s="56" t="n"/>
      <c r="E60" s="56" t="n"/>
      <c r="F60" s="56" t="n"/>
      <c r="G60" s="59">
        <f>IFERROR(C60/D60,"")</f>
        <v/>
      </c>
      <c r="H60" s="69">
        <f>IFERROR(F60/E60,"")</f>
        <v/>
      </c>
      <c r="I60" s="58">
        <f>IFERROR(IF(ISNUMBER(H60),IF(H60&gt;3,"Green",IF(H60&gt;=1,"Yellow","Red")),""),"")</f>
        <v/>
      </c>
    </row>
    <row r="61" ht="15" customHeight="1" s="35">
      <c r="A61" s="56" t="n"/>
      <c r="B61" s="56" t="n"/>
      <c r="C61" s="56" t="n"/>
      <c r="D61" s="56" t="n"/>
      <c r="E61" s="56" t="n"/>
      <c r="F61" s="56" t="n"/>
      <c r="G61" s="59">
        <f>IFERROR(C61/D61,"")</f>
        <v/>
      </c>
      <c r="H61" s="69">
        <f>IFERROR(F61/E61,"")</f>
        <v/>
      </c>
      <c r="I61" s="58">
        <f>IFERROR(IF(ISNUMBER(H61),IF(H61&gt;3,"Green",IF(H61&gt;=1,"Yellow","Red")),""),"")</f>
        <v/>
      </c>
    </row>
    <row r="62" ht="15" customHeight="1" s="35">
      <c r="A62" s="56" t="n"/>
      <c r="B62" s="56" t="n"/>
      <c r="C62" s="56" t="n"/>
      <c r="D62" s="56" t="n"/>
      <c r="E62" s="56" t="n"/>
      <c r="F62" s="56" t="n"/>
      <c r="G62" s="59">
        <f>IFERROR(C62/D62,"")</f>
        <v/>
      </c>
      <c r="H62" s="69">
        <f>IFERROR(F62/E62,"")</f>
        <v/>
      </c>
      <c r="I62" s="58">
        <f>IFERROR(IF(ISNUMBER(H62),IF(H62&gt;3,"Green",IF(H62&gt;=1,"Yellow","Red")),""),"")</f>
        <v/>
      </c>
    </row>
    <row r="63" ht="15" customHeight="1" s="35">
      <c r="A63" s="56" t="n"/>
      <c r="B63" s="56" t="n"/>
      <c r="C63" s="56" t="n"/>
      <c r="D63" s="56" t="n"/>
      <c r="E63" s="56" t="n"/>
      <c r="F63" s="56" t="n"/>
      <c r="G63" s="59">
        <f>IFERROR(C63/D63,"")</f>
        <v/>
      </c>
      <c r="H63" s="69">
        <f>IFERROR(F63/E63,"")</f>
        <v/>
      </c>
      <c r="I63" s="58">
        <f>IFERROR(IF(ISNUMBER(H63),IF(H63&gt;3,"Green",IF(H63&gt;=1,"Yellow","Red")),""),"")</f>
        <v/>
      </c>
    </row>
  </sheetData>
  <mergeCells count="5">
    <mergeCell ref="A1:M1"/>
    <mergeCell ref="A4:M4"/>
    <mergeCell ref="A3:M3"/>
    <mergeCell ref="A2:M2"/>
    <mergeCell ref="A38:I38"/>
  </mergeCells>
  <conditionalFormatting sqref="K6:K35">
    <cfRule type="cellIs" rank="0" priority="2" equalAverage="0" operator="equal" aboveAverage="0" dxfId="0" text="" percent="0" bottom="0">
      <formula>"Green"</formula>
    </cfRule>
    <cfRule type="cellIs" rank="0" priority="3" equalAverage="0" operator="equal" aboveAverage="0" dxfId="1" text="" percent="0" bottom="0">
      <formula>"Yellow"</formula>
    </cfRule>
    <cfRule type="cellIs" rank="0" priority="4" equalAverage="0" operator="equal" aboveAverage="0" dxfId="2" text="" percent="0" bottom="0">
      <formula>"Red"</formula>
    </cfRule>
  </conditionalFormatting>
  <conditionalFormatting sqref="M6:M35">
    <cfRule type="cellIs" rank="0" priority="5" equalAverage="0" operator="equal" aboveAverage="0" dxfId="0" text="" percent="0" bottom="0">
      <formula>"Green"</formula>
    </cfRule>
    <cfRule type="cellIs" rank="0" priority="6" equalAverage="0" operator="equal" aboveAverage="0" dxfId="1" text="" percent="0" bottom="0">
      <formula>"Yellow"</formula>
    </cfRule>
    <cfRule type="cellIs" rank="0" priority="7" equalAverage="0" operator="equal" aboveAverage="0" dxfId="2" text="" percent="0" bottom="0">
      <formula>"Red"</formula>
    </cfRule>
  </conditionalFormatting>
  <conditionalFormatting sqref="I40:I63">
    <cfRule type="cellIs" rank="0" priority="8" equalAverage="0" operator="equal" aboveAverage="0" dxfId="0" text="" percent="0" bottom="0">
      <formula>"Green"</formula>
    </cfRule>
    <cfRule type="cellIs" rank="0" priority="9" equalAverage="0" operator="equal" aboveAverage="0" dxfId="1" text="" percent="0" bottom="0">
      <formula>"Yellow"</formula>
    </cfRule>
    <cfRule type="cellIs" rank="0" priority="10" equalAverage="0" operator="equal" aboveAverage="0" dxfId="2" text="" percent="0" bottom="0">
      <formula>"Red"</formula>
    </cfRule>
  </conditionalFormatting>
  <dataValidations count="3">
    <dataValidation sqref="B6:B35" showDropDown="0" showInputMessage="0" showErrorMessage="0" allowBlank="1" errorTitle="Invalid entry" error="Please choose a value from the dropdown list." type="list" errorStyle="stop" operator="between">
      <formula1>Lists!$B$2:$B$13</formula1>
      <formula2>0</formula2>
    </dataValidation>
    <dataValidation sqref="C6:C35" showDropDown="0" showInputMessage="0" showErrorMessage="0" allowBlank="1" errorTitle="Invalid entry" error="Please choose a value from the dropdown list." type="list" errorStyle="stop" operator="between">
      <formula1>Lists!$C$2:$C$6</formula1>
      <formula2>0</formula2>
    </dataValidation>
    <dataValidation sqref="B40:B63" showDropDown="0" showInputMessage="0" showErrorMessage="0" allowBlank="1" errorTitle="Invalid entry" error="Please choose a value from the dropdown list." type="list" errorStyle="stop" operator="between">
      <formula1>Lists!$B$2:$B$13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6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7" customWidth="1" style="34" min="1" max="1"/>
    <col width="11" customWidth="1" style="34" min="2" max="2"/>
    <col width="18" customWidth="1" style="34" min="3" max="3"/>
    <col width="13" customWidth="1" style="34" min="4" max="4"/>
    <col width="15" customWidth="1" style="34" min="5" max="5"/>
    <col width="13" customWidth="1" style="34" min="6" max="6"/>
    <col width="16" customWidth="1" style="34" min="7" max="7"/>
    <col width="13" customWidth="1" style="34" min="8" max="8"/>
    <col width="12" customWidth="1" style="34" min="9" max="9"/>
    <col width="13" customWidth="1" style="34" min="10" max="10"/>
    <col width="12" customWidth="1" style="34" min="11" max="11"/>
    <col width="11" customWidth="1" style="34" min="12" max="12"/>
  </cols>
  <sheetData>
    <row r="1" ht="25.5" customHeight="1" s="35">
      <c r="A1" s="50" t="inlineStr">
        <is>
          <t>Page 4 — Trade Marketing &amp; Retail</t>
        </is>
      </c>
    </row>
    <row r="2" ht="15.75" customHeight="1" s="35">
      <c r="A2" s="51" t="inlineStr">
        <is>
          <t>Table A: one row per Month. Table B (below): individual events log.</t>
        </is>
      </c>
    </row>
    <row r="3" ht="15" customHeight="1" s="35">
      <c r="A3" s="51" t="inlineStr">
        <is>
          <t>Legend: Yellow = enter data | Grey = auto-calculated (do not edit) | Green row = example (delete before sending)</t>
        </is>
      </c>
    </row>
    <row r="4" ht="21.75" customHeight="1" s="35">
      <c r="A4" s="61" t="inlineStr">
        <is>
          <t>Table A — Monthly Compliance, Stock &amp; Attendance KPIs</t>
        </is>
      </c>
    </row>
    <row r="5" ht="31.5" customHeight="1" s="35">
      <c r="A5" s="47" t="inlineStr">
        <is>
          <t>Year</t>
        </is>
      </c>
      <c r="B5" s="47" t="inlineStr">
        <is>
          <t>Month</t>
        </is>
      </c>
      <c r="C5" s="47" t="inlineStr">
        <is>
          <t>Trade Marketing Report Score % (Compliance)</t>
        </is>
      </c>
      <c r="D5" s="47" t="inlineStr">
        <is>
          <t>Compliance Status</t>
        </is>
      </c>
      <c r="E5" s="47" t="inlineStr">
        <is>
          <t>Giveaways Stock Available %</t>
        </is>
      </c>
      <c r="F5" s="47" t="inlineStr">
        <is>
          <t>Giveaways Stock Status</t>
        </is>
      </c>
      <c r="G5" s="47" t="inlineStr">
        <is>
          <t>Printed Materials Stock Available %</t>
        </is>
      </c>
      <c r="H5" s="47" t="inlineStr">
        <is>
          <t>Printed Materials Status</t>
        </is>
      </c>
      <c r="I5" s="47" t="inlineStr">
        <is>
          <t># Attendees - Actual</t>
        </is>
      </c>
      <c r="J5" s="47" t="inlineStr">
        <is>
          <t># Attendees - Expected</t>
        </is>
      </c>
      <c r="K5" s="47" t="inlineStr">
        <is>
          <t>Attendance Rate %</t>
        </is>
      </c>
      <c r="L5" s="47" t="inlineStr">
        <is>
          <t>Attendance Status</t>
        </is>
      </c>
    </row>
    <row r="6" ht="15" customHeight="1" s="35">
      <c r="A6" s="52" t="n">
        <v>2026</v>
      </c>
      <c r="B6" s="52" t="inlineStr">
        <is>
          <t>August</t>
        </is>
      </c>
      <c r="C6" s="54" t="n">
        <v>0.9399999999999999</v>
      </c>
      <c r="D6" s="52">
        <f>IFERROR(IF(ISNUMBER(C6),IF(C6&gt;0.9,"Green",IF(C6&gt;=0.8,"Yellow","Red")),""),"")</f>
        <v/>
      </c>
      <c r="E6" s="54" t="n">
        <v>0.88</v>
      </c>
      <c r="F6" s="52">
        <f>IFERROR(IF(ISNUMBER(E6),IF(E6&gt;0.9,"Green",IF(E6&gt;=0.8,"Yellow","Red")),""),"")</f>
        <v/>
      </c>
      <c r="G6" s="54" t="n">
        <v>0.91</v>
      </c>
      <c r="H6" s="52">
        <f>IFERROR(IF(ISNUMBER(G6),IF(G6&gt;0.9,"Green",IF(G6&gt;=0.8,"Yellow","Red")),""),"")</f>
        <v/>
      </c>
      <c r="I6" s="52" t="n">
        <v>460</v>
      </c>
      <c r="J6" s="52" t="n">
        <v>500</v>
      </c>
      <c r="K6" s="54">
        <f>IFERROR(I6/J6,"")</f>
        <v/>
      </c>
      <c r="L6" s="52">
        <f>IFERROR(IF(ISNUMBER(K6),IF(K6&gt;0.9,"Green",IF(K6&gt;=0.8,"Yellow","Red")),""),"")</f>
        <v/>
      </c>
    </row>
    <row r="7" ht="15" customHeight="1" s="35">
      <c r="A7" s="56" t="n"/>
      <c r="B7" s="56" t="n"/>
      <c r="C7" s="70" t="n"/>
      <c r="D7" s="58">
        <f>IFERROR(IF(ISNUMBER(C7),IF(C7&gt;0.9,"Green",IF(C7&gt;=0.8,"Yellow","Red")),""),"")</f>
        <v/>
      </c>
      <c r="E7" s="70" t="n"/>
      <c r="F7" s="58">
        <f>IFERROR(IF(ISNUMBER(E7),IF(E7&gt;0.9,"Green",IF(E7&gt;=0.8,"Yellow","Red")),""),"")</f>
        <v/>
      </c>
      <c r="G7" s="70" t="n"/>
      <c r="H7" s="58">
        <f>IFERROR(IF(ISNUMBER(G7),IF(G7&gt;0.9,"Green",IF(G7&gt;=0.8,"Yellow","Red")),""),"")</f>
        <v/>
      </c>
      <c r="I7" s="56" t="n"/>
      <c r="J7" s="56" t="n"/>
      <c r="K7" s="59">
        <f>IFERROR(I7/J7,"")</f>
        <v/>
      </c>
      <c r="L7" s="58">
        <f>IFERROR(IF(ISNUMBER(K7),IF(K7&gt;0.9,"Green",IF(K7&gt;=0.8,"Yellow","Red")),""),"")</f>
        <v/>
      </c>
    </row>
    <row r="8" ht="15" customHeight="1" s="35">
      <c r="A8" s="56" t="n"/>
      <c r="B8" s="56" t="n"/>
      <c r="C8" s="70" t="n"/>
      <c r="D8" s="58">
        <f>IFERROR(IF(ISNUMBER(C8),IF(C8&gt;0.9,"Green",IF(C8&gt;=0.8,"Yellow","Red")),""),"")</f>
        <v/>
      </c>
      <c r="E8" s="70" t="n"/>
      <c r="F8" s="58">
        <f>IFERROR(IF(ISNUMBER(E8),IF(E8&gt;0.9,"Green",IF(E8&gt;=0.8,"Yellow","Red")),""),"")</f>
        <v/>
      </c>
      <c r="G8" s="70" t="n"/>
      <c r="H8" s="58">
        <f>IFERROR(IF(ISNUMBER(G8),IF(G8&gt;0.9,"Green",IF(G8&gt;=0.8,"Yellow","Red")),""),"")</f>
        <v/>
      </c>
      <c r="I8" s="56" t="n"/>
      <c r="J8" s="56" t="n"/>
      <c r="K8" s="59">
        <f>IFERROR(I8/J8,"")</f>
        <v/>
      </c>
      <c r="L8" s="58">
        <f>IFERROR(IF(ISNUMBER(K8),IF(K8&gt;0.9,"Green",IF(K8&gt;=0.8,"Yellow","Red")),""),"")</f>
        <v/>
      </c>
    </row>
    <row r="9" ht="15" customHeight="1" s="35">
      <c r="A9" s="56" t="n"/>
      <c r="B9" s="56" t="n"/>
      <c r="C9" s="70" t="n"/>
      <c r="D9" s="58">
        <f>IFERROR(IF(ISNUMBER(C9),IF(C9&gt;0.9,"Green",IF(C9&gt;=0.8,"Yellow","Red")),""),"")</f>
        <v/>
      </c>
      <c r="E9" s="70" t="n"/>
      <c r="F9" s="58">
        <f>IFERROR(IF(ISNUMBER(E9),IF(E9&gt;0.9,"Green",IF(E9&gt;=0.8,"Yellow","Red")),""),"")</f>
        <v/>
      </c>
      <c r="G9" s="70" t="n"/>
      <c r="H9" s="58">
        <f>IFERROR(IF(ISNUMBER(G9),IF(G9&gt;0.9,"Green",IF(G9&gt;=0.8,"Yellow","Red")),""),"")</f>
        <v/>
      </c>
      <c r="I9" s="56" t="n"/>
      <c r="J9" s="56" t="n"/>
      <c r="K9" s="59">
        <f>IFERROR(I9/J9,"")</f>
        <v/>
      </c>
      <c r="L9" s="58">
        <f>IFERROR(IF(ISNUMBER(K9),IF(K9&gt;0.9,"Green",IF(K9&gt;=0.8,"Yellow","Red")),""),"")</f>
        <v/>
      </c>
    </row>
    <row r="10" ht="15" customHeight="1" s="35">
      <c r="A10" s="56" t="n"/>
      <c r="B10" s="56" t="n"/>
      <c r="C10" s="70" t="n"/>
      <c r="D10" s="58">
        <f>IFERROR(IF(ISNUMBER(C10),IF(C10&gt;0.9,"Green",IF(C10&gt;=0.8,"Yellow","Red")),""),"")</f>
        <v/>
      </c>
      <c r="E10" s="70" t="n"/>
      <c r="F10" s="58">
        <f>IFERROR(IF(ISNUMBER(E10),IF(E10&gt;0.9,"Green",IF(E10&gt;=0.8,"Yellow","Red")),""),"")</f>
        <v/>
      </c>
      <c r="G10" s="70" t="n"/>
      <c r="H10" s="58">
        <f>IFERROR(IF(ISNUMBER(G10),IF(G10&gt;0.9,"Green",IF(G10&gt;=0.8,"Yellow","Red")),""),"")</f>
        <v/>
      </c>
      <c r="I10" s="56" t="n"/>
      <c r="J10" s="56" t="n"/>
      <c r="K10" s="59">
        <f>IFERROR(I10/J10,"")</f>
        <v/>
      </c>
      <c r="L10" s="58">
        <f>IFERROR(IF(ISNUMBER(K10),IF(K10&gt;0.9,"Green",IF(K10&gt;=0.8,"Yellow","Red")),""),"")</f>
        <v/>
      </c>
    </row>
    <row r="11" ht="15" customHeight="1" s="35">
      <c r="A11" s="56" t="n"/>
      <c r="B11" s="56" t="n"/>
      <c r="C11" s="70" t="n"/>
      <c r="D11" s="58">
        <f>IFERROR(IF(ISNUMBER(C11),IF(C11&gt;0.9,"Green",IF(C11&gt;=0.8,"Yellow","Red")),""),"")</f>
        <v/>
      </c>
      <c r="E11" s="70" t="n"/>
      <c r="F11" s="58">
        <f>IFERROR(IF(ISNUMBER(E11),IF(E11&gt;0.9,"Green",IF(E11&gt;=0.8,"Yellow","Red")),""),"")</f>
        <v/>
      </c>
      <c r="G11" s="70" t="n"/>
      <c r="H11" s="58">
        <f>IFERROR(IF(ISNUMBER(G11),IF(G11&gt;0.9,"Green",IF(G11&gt;=0.8,"Yellow","Red")),""),"")</f>
        <v/>
      </c>
      <c r="I11" s="56" t="n"/>
      <c r="J11" s="56" t="n"/>
      <c r="K11" s="59">
        <f>IFERROR(I11/J11,"")</f>
        <v/>
      </c>
      <c r="L11" s="58">
        <f>IFERROR(IF(ISNUMBER(K11),IF(K11&gt;0.9,"Green",IF(K11&gt;=0.8,"Yellow","Red")),""),"")</f>
        <v/>
      </c>
    </row>
    <row r="12" ht="15" customHeight="1" s="35">
      <c r="A12" s="56" t="n"/>
      <c r="B12" s="56" t="n"/>
      <c r="C12" s="70" t="n"/>
      <c r="D12" s="58">
        <f>IFERROR(IF(ISNUMBER(C12),IF(C12&gt;0.9,"Green",IF(C12&gt;=0.8,"Yellow","Red")),""),"")</f>
        <v/>
      </c>
      <c r="E12" s="70" t="n"/>
      <c r="F12" s="58">
        <f>IFERROR(IF(ISNUMBER(E12),IF(E12&gt;0.9,"Green",IF(E12&gt;=0.8,"Yellow","Red")),""),"")</f>
        <v/>
      </c>
      <c r="G12" s="70" t="n"/>
      <c r="H12" s="58">
        <f>IFERROR(IF(ISNUMBER(G12),IF(G12&gt;0.9,"Green",IF(G12&gt;=0.8,"Yellow","Red")),""),"")</f>
        <v/>
      </c>
      <c r="I12" s="56" t="n"/>
      <c r="J12" s="56" t="n"/>
      <c r="K12" s="59">
        <f>IFERROR(I12/J12,"")</f>
        <v/>
      </c>
      <c r="L12" s="58">
        <f>IFERROR(IF(ISNUMBER(K12),IF(K12&gt;0.9,"Green",IF(K12&gt;=0.8,"Yellow","Red")),""),"")</f>
        <v/>
      </c>
    </row>
    <row r="13" ht="15" customHeight="1" s="35">
      <c r="A13" s="56" t="n"/>
      <c r="B13" s="56" t="n"/>
      <c r="C13" s="70" t="n"/>
      <c r="D13" s="58">
        <f>IFERROR(IF(ISNUMBER(C13),IF(C13&gt;0.9,"Green",IF(C13&gt;=0.8,"Yellow","Red")),""),"")</f>
        <v/>
      </c>
      <c r="E13" s="70" t="n"/>
      <c r="F13" s="58">
        <f>IFERROR(IF(ISNUMBER(E13),IF(E13&gt;0.9,"Green",IF(E13&gt;=0.8,"Yellow","Red")),""),"")</f>
        <v/>
      </c>
      <c r="G13" s="70" t="n"/>
      <c r="H13" s="58">
        <f>IFERROR(IF(ISNUMBER(G13),IF(G13&gt;0.9,"Green",IF(G13&gt;=0.8,"Yellow","Red")),""),"")</f>
        <v/>
      </c>
      <c r="I13" s="56" t="n"/>
      <c r="J13" s="56" t="n"/>
      <c r="K13" s="59">
        <f>IFERROR(I13/J13,"")</f>
        <v/>
      </c>
      <c r="L13" s="58">
        <f>IFERROR(IF(ISNUMBER(K13),IF(K13&gt;0.9,"Green",IF(K13&gt;=0.8,"Yellow","Red")),""),"")</f>
        <v/>
      </c>
    </row>
    <row r="14" ht="15" customHeight="1" s="35">
      <c r="A14" s="56" t="n"/>
      <c r="B14" s="56" t="n"/>
      <c r="C14" s="70" t="n"/>
      <c r="D14" s="58">
        <f>IFERROR(IF(ISNUMBER(C14),IF(C14&gt;0.9,"Green",IF(C14&gt;=0.8,"Yellow","Red")),""),"")</f>
        <v/>
      </c>
      <c r="E14" s="70" t="n"/>
      <c r="F14" s="58">
        <f>IFERROR(IF(ISNUMBER(E14),IF(E14&gt;0.9,"Green",IF(E14&gt;=0.8,"Yellow","Red")),""),"")</f>
        <v/>
      </c>
      <c r="G14" s="70" t="n"/>
      <c r="H14" s="58">
        <f>IFERROR(IF(ISNUMBER(G14),IF(G14&gt;0.9,"Green",IF(G14&gt;=0.8,"Yellow","Red")),""),"")</f>
        <v/>
      </c>
      <c r="I14" s="56" t="n"/>
      <c r="J14" s="56" t="n"/>
      <c r="K14" s="59">
        <f>IFERROR(I14/J14,"")</f>
        <v/>
      </c>
      <c r="L14" s="58">
        <f>IFERROR(IF(ISNUMBER(K14),IF(K14&gt;0.9,"Green",IF(K14&gt;=0.8,"Yellow","Red")),""),"")</f>
        <v/>
      </c>
    </row>
    <row r="15" ht="15" customHeight="1" s="35">
      <c r="A15" s="56" t="n"/>
      <c r="B15" s="56" t="n"/>
      <c r="C15" s="70" t="n"/>
      <c r="D15" s="58">
        <f>IFERROR(IF(ISNUMBER(C15),IF(C15&gt;0.9,"Green",IF(C15&gt;=0.8,"Yellow","Red")),""),"")</f>
        <v/>
      </c>
      <c r="E15" s="70" t="n"/>
      <c r="F15" s="58">
        <f>IFERROR(IF(ISNUMBER(E15),IF(E15&gt;0.9,"Green",IF(E15&gt;=0.8,"Yellow","Red")),""),"")</f>
        <v/>
      </c>
      <c r="G15" s="70" t="n"/>
      <c r="H15" s="58">
        <f>IFERROR(IF(ISNUMBER(G15),IF(G15&gt;0.9,"Green",IF(G15&gt;=0.8,"Yellow","Red")),""),"")</f>
        <v/>
      </c>
      <c r="I15" s="56" t="n"/>
      <c r="J15" s="56" t="n"/>
      <c r="K15" s="59">
        <f>IFERROR(I15/J15,"")</f>
        <v/>
      </c>
      <c r="L15" s="58">
        <f>IFERROR(IF(ISNUMBER(K15),IF(K15&gt;0.9,"Green",IF(K15&gt;=0.8,"Yellow","Red")),""),"")</f>
        <v/>
      </c>
    </row>
    <row r="16" ht="15" customHeight="1" s="35">
      <c r="A16" s="56" t="n"/>
      <c r="B16" s="56" t="n"/>
      <c r="C16" s="70" t="n"/>
      <c r="D16" s="58">
        <f>IFERROR(IF(ISNUMBER(C16),IF(C16&gt;0.9,"Green",IF(C16&gt;=0.8,"Yellow","Red")),""),"")</f>
        <v/>
      </c>
      <c r="E16" s="70" t="n"/>
      <c r="F16" s="58">
        <f>IFERROR(IF(ISNUMBER(E16),IF(E16&gt;0.9,"Green",IF(E16&gt;=0.8,"Yellow","Red")),""),"")</f>
        <v/>
      </c>
      <c r="G16" s="70" t="n"/>
      <c r="H16" s="58">
        <f>IFERROR(IF(ISNUMBER(G16),IF(G16&gt;0.9,"Green",IF(G16&gt;=0.8,"Yellow","Red")),""),"")</f>
        <v/>
      </c>
      <c r="I16" s="56" t="n"/>
      <c r="J16" s="56" t="n"/>
      <c r="K16" s="59">
        <f>IFERROR(I16/J16,"")</f>
        <v/>
      </c>
      <c r="L16" s="58">
        <f>IFERROR(IF(ISNUMBER(K16),IF(K16&gt;0.9,"Green",IF(K16&gt;=0.8,"Yellow","Red")),""),"")</f>
        <v/>
      </c>
    </row>
    <row r="17" ht="15" customHeight="1" s="35">
      <c r="A17" s="56" t="n"/>
      <c r="B17" s="56" t="n"/>
      <c r="C17" s="70" t="n"/>
      <c r="D17" s="58">
        <f>IFERROR(IF(ISNUMBER(C17),IF(C17&gt;0.9,"Green",IF(C17&gt;=0.8,"Yellow","Red")),""),"")</f>
        <v/>
      </c>
      <c r="E17" s="70" t="n"/>
      <c r="F17" s="58">
        <f>IFERROR(IF(ISNUMBER(E17),IF(E17&gt;0.9,"Green",IF(E17&gt;=0.8,"Yellow","Red")),""),"")</f>
        <v/>
      </c>
      <c r="G17" s="70" t="n"/>
      <c r="H17" s="58">
        <f>IFERROR(IF(ISNUMBER(G17),IF(G17&gt;0.9,"Green",IF(G17&gt;=0.8,"Yellow","Red")),""),"")</f>
        <v/>
      </c>
      <c r="I17" s="56" t="n"/>
      <c r="J17" s="56" t="n"/>
      <c r="K17" s="59">
        <f>IFERROR(I17/J17,"")</f>
        <v/>
      </c>
      <c r="L17" s="58">
        <f>IFERROR(IF(ISNUMBER(K17),IF(K17&gt;0.9,"Green",IF(K17&gt;=0.8,"Yellow","Red")),""),"")</f>
        <v/>
      </c>
    </row>
    <row r="18" ht="15" customHeight="1" s="35">
      <c r="A18" s="56" t="n"/>
      <c r="B18" s="56" t="n"/>
      <c r="C18" s="70" t="n"/>
      <c r="D18" s="58">
        <f>IFERROR(IF(ISNUMBER(C18),IF(C18&gt;0.9,"Green",IF(C18&gt;=0.8,"Yellow","Red")),""),"")</f>
        <v/>
      </c>
      <c r="E18" s="70" t="n"/>
      <c r="F18" s="58">
        <f>IFERROR(IF(ISNUMBER(E18),IF(E18&gt;0.9,"Green",IF(E18&gt;=0.8,"Yellow","Red")),""),"")</f>
        <v/>
      </c>
      <c r="G18" s="70" t="n"/>
      <c r="H18" s="58">
        <f>IFERROR(IF(ISNUMBER(G18),IF(G18&gt;0.9,"Green",IF(G18&gt;=0.8,"Yellow","Red")),""),"")</f>
        <v/>
      </c>
      <c r="I18" s="56" t="n"/>
      <c r="J18" s="56" t="n"/>
      <c r="K18" s="59">
        <f>IFERROR(I18/J18,"")</f>
        <v/>
      </c>
      <c r="L18" s="58">
        <f>IFERROR(IF(ISNUMBER(K18),IF(K18&gt;0.9,"Green",IF(K18&gt;=0.8,"Yellow","Red")),""),"")</f>
        <v/>
      </c>
    </row>
    <row r="19" ht="15" customHeight="1" s="35">
      <c r="A19" s="56" t="n"/>
      <c r="B19" s="56" t="n"/>
      <c r="C19" s="70" t="n"/>
      <c r="D19" s="58">
        <f>IFERROR(IF(ISNUMBER(C19),IF(C19&gt;0.9,"Green",IF(C19&gt;=0.8,"Yellow","Red")),""),"")</f>
        <v/>
      </c>
      <c r="E19" s="70" t="n"/>
      <c r="F19" s="58">
        <f>IFERROR(IF(ISNUMBER(E19),IF(E19&gt;0.9,"Green",IF(E19&gt;=0.8,"Yellow","Red")),""),"")</f>
        <v/>
      </c>
      <c r="G19" s="70" t="n"/>
      <c r="H19" s="58">
        <f>IFERROR(IF(ISNUMBER(G19),IF(G19&gt;0.9,"Green",IF(G19&gt;=0.8,"Yellow","Red")),""),"")</f>
        <v/>
      </c>
      <c r="I19" s="56" t="n"/>
      <c r="J19" s="56" t="n"/>
      <c r="K19" s="59">
        <f>IFERROR(I19/J19,"")</f>
        <v/>
      </c>
      <c r="L19" s="58">
        <f>IFERROR(IF(ISNUMBER(K19),IF(K19&gt;0.9,"Green",IF(K19&gt;=0.8,"Yellow","Red")),""),"")</f>
        <v/>
      </c>
    </row>
    <row r="20" ht="15" customHeight="1" s="35">
      <c r="A20" s="56" t="n"/>
      <c r="B20" s="56" t="n"/>
      <c r="C20" s="70" t="n"/>
      <c r="D20" s="58">
        <f>IFERROR(IF(ISNUMBER(C20),IF(C20&gt;0.9,"Green",IF(C20&gt;=0.8,"Yellow","Red")),""),"")</f>
        <v/>
      </c>
      <c r="E20" s="70" t="n"/>
      <c r="F20" s="58">
        <f>IFERROR(IF(ISNUMBER(E20),IF(E20&gt;0.9,"Green",IF(E20&gt;=0.8,"Yellow","Red")),""),"")</f>
        <v/>
      </c>
      <c r="G20" s="70" t="n"/>
      <c r="H20" s="58">
        <f>IFERROR(IF(ISNUMBER(G20),IF(G20&gt;0.9,"Green",IF(G20&gt;=0.8,"Yellow","Red")),""),"")</f>
        <v/>
      </c>
      <c r="I20" s="56" t="n"/>
      <c r="J20" s="56" t="n"/>
      <c r="K20" s="59">
        <f>IFERROR(I20/J20,"")</f>
        <v/>
      </c>
      <c r="L20" s="58">
        <f>IFERROR(IF(ISNUMBER(K20),IF(K20&gt;0.9,"Green",IF(K20&gt;=0.8,"Yellow","Red")),""),"")</f>
        <v/>
      </c>
    </row>
    <row r="21" ht="15" customHeight="1" s="35">
      <c r="A21" s="56" t="n"/>
      <c r="B21" s="56" t="n"/>
      <c r="C21" s="70" t="n"/>
      <c r="D21" s="58">
        <f>IFERROR(IF(ISNUMBER(C21),IF(C21&gt;0.9,"Green",IF(C21&gt;=0.8,"Yellow","Red")),""),"")</f>
        <v/>
      </c>
      <c r="E21" s="70" t="n"/>
      <c r="F21" s="58">
        <f>IFERROR(IF(ISNUMBER(E21),IF(E21&gt;0.9,"Green",IF(E21&gt;=0.8,"Yellow","Red")),""),"")</f>
        <v/>
      </c>
      <c r="G21" s="70" t="n"/>
      <c r="H21" s="58">
        <f>IFERROR(IF(ISNUMBER(G21),IF(G21&gt;0.9,"Green",IF(G21&gt;=0.8,"Yellow","Red")),""),"")</f>
        <v/>
      </c>
      <c r="I21" s="56" t="n"/>
      <c r="J21" s="56" t="n"/>
      <c r="K21" s="59">
        <f>IFERROR(I21/J21,"")</f>
        <v/>
      </c>
      <c r="L21" s="58">
        <f>IFERROR(IF(ISNUMBER(K21),IF(K21&gt;0.9,"Green",IF(K21&gt;=0.8,"Yellow","Red")),""),"")</f>
        <v/>
      </c>
    </row>
    <row r="22" ht="15" customHeight="1" s="35">
      <c r="A22" s="56" t="n"/>
      <c r="B22" s="56" t="n"/>
      <c r="C22" s="70" t="n"/>
      <c r="D22" s="58">
        <f>IFERROR(IF(ISNUMBER(C22),IF(C22&gt;0.9,"Green",IF(C22&gt;=0.8,"Yellow","Red")),""),"")</f>
        <v/>
      </c>
      <c r="E22" s="70" t="n"/>
      <c r="F22" s="58">
        <f>IFERROR(IF(ISNUMBER(E22),IF(E22&gt;0.9,"Green",IF(E22&gt;=0.8,"Yellow","Red")),""),"")</f>
        <v/>
      </c>
      <c r="G22" s="70" t="n"/>
      <c r="H22" s="58">
        <f>IFERROR(IF(ISNUMBER(G22),IF(G22&gt;0.9,"Green",IF(G22&gt;=0.8,"Yellow","Red")),""),"")</f>
        <v/>
      </c>
      <c r="I22" s="56" t="n"/>
      <c r="J22" s="56" t="n"/>
      <c r="K22" s="59">
        <f>IFERROR(I22/J22,"")</f>
        <v/>
      </c>
      <c r="L22" s="58">
        <f>IFERROR(IF(ISNUMBER(K22),IF(K22&gt;0.9,"Green",IF(K22&gt;=0.8,"Yellow","Red")),""),"")</f>
        <v/>
      </c>
    </row>
    <row r="23" ht="15" customHeight="1" s="35">
      <c r="A23" s="56" t="n"/>
      <c r="B23" s="56" t="n"/>
      <c r="C23" s="70" t="n"/>
      <c r="D23" s="58">
        <f>IFERROR(IF(ISNUMBER(C23),IF(C23&gt;0.9,"Green",IF(C23&gt;=0.8,"Yellow","Red")),""),"")</f>
        <v/>
      </c>
      <c r="E23" s="70" t="n"/>
      <c r="F23" s="58">
        <f>IFERROR(IF(ISNUMBER(E23),IF(E23&gt;0.9,"Green",IF(E23&gt;=0.8,"Yellow","Red")),""),"")</f>
        <v/>
      </c>
      <c r="G23" s="70" t="n"/>
      <c r="H23" s="58">
        <f>IFERROR(IF(ISNUMBER(G23),IF(G23&gt;0.9,"Green",IF(G23&gt;=0.8,"Yellow","Red")),""),"")</f>
        <v/>
      </c>
      <c r="I23" s="56" t="n"/>
      <c r="J23" s="56" t="n"/>
      <c r="K23" s="59">
        <f>IFERROR(I23/J23,"")</f>
        <v/>
      </c>
      <c r="L23" s="58">
        <f>IFERROR(IF(ISNUMBER(K23),IF(K23&gt;0.9,"Green",IF(K23&gt;=0.8,"Yellow","Red")),""),"")</f>
        <v/>
      </c>
    </row>
    <row r="24" ht="15" customHeight="1" s="35">
      <c r="A24" s="56" t="n"/>
      <c r="B24" s="56" t="n"/>
      <c r="C24" s="70" t="n"/>
      <c r="D24" s="58">
        <f>IFERROR(IF(ISNUMBER(C24),IF(C24&gt;0.9,"Green",IF(C24&gt;=0.8,"Yellow","Red")),""),"")</f>
        <v/>
      </c>
      <c r="E24" s="70" t="n"/>
      <c r="F24" s="58">
        <f>IFERROR(IF(ISNUMBER(E24),IF(E24&gt;0.9,"Green",IF(E24&gt;=0.8,"Yellow","Red")),""),"")</f>
        <v/>
      </c>
      <c r="G24" s="70" t="n"/>
      <c r="H24" s="58">
        <f>IFERROR(IF(ISNUMBER(G24),IF(G24&gt;0.9,"Green",IF(G24&gt;=0.8,"Yellow","Red")),""),"")</f>
        <v/>
      </c>
      <c r="I24" s="56" t="n"/>
      <c r="J24" s="56" t="n"/>
      <c r="K24" s="59">
        <f>IFERROR(I24/J24,"")</f>
        <v/>
      </c>
      <c r="L24" s="58">
        <f>IFERROR(IF(ISNUMBER(K24),IF(K24&gt;0.9,"Green",IF(K24&gt;=0.8,"Yellow","Red")),""),"")</f>
        <v/>
      </c>
    </row>
    <row r="25" ht="15" customHeight="1" s="35">
      <c r="A25" s="56" t="n"/>
      <c r="B25" s="56" t="n"/>
      <c r="C25" s="70" t="n"/>
      <c r="D25" s="58">
        <f>IFERROR(IF(ISNUMBER(C25),IF(C25&gt;0.9,"Green",IF(C25&gt;=0.8,"Yellow","Red")),""),"")</f>
        <v/>
      </c>
      <c r="E25" s="70" t="n"/>
      <c r="F25" s="58">
        <f>IFERROR(IF(ISNUMBER(E25),IF(E25&gt;0.9,"Green",IF(E25&gt;=0.8,"Yellow","Red")),""),"")</f>
        <v/>
      </c>
      <c r="G25" s="70" t="n"/>
      <c r="H25" s="58">
        <f>IFERROR(IF(ISNUMBER(G25),IF(G25&gt;0.9,"Green",IF(G25&gt;=0.8,"Yellow","Red")),""),"")</f>
        <v/>
      </c>
      <c r="I25" s="56" t="n"/>
      <c r="J25" s="56" t="n"/>
      <c r="K25" s="59">
        <f>IFERROR(I25/J25,"")</f>
        <v/>
      </c>
      <c r="L25" s="58">
        <f>IFERROR(IF(ISNUMBER(K25),IF(K25&gt;0.9,"Green",IF(K25&gt;=0.8,"Yellow","Red")),""),"")</f>
        <v/>
      </c>
    </row>
    <row r="26" ht="15" customHeight="1" s="35">
      <c r="A26" s="56" t="n"/>
      <c r="B26" s="56" t="n"/>
      <c r="C26" s="70" t="n"/>
      <c r="D26" s="58">
        <f>IFERROR(IF(ISNUMBER(C26),IF(C26&gt;0.9,"Green",IF(C26&gt;=0.8,"Yellow","Red")),""),"")</f>
        <v/>
      </c>
      <c r="E26" s="70" t="n"/>
      <c r="F26" s="58">
        <f>IFERROR(IF(ISNUMBER(E26),IF(E26&gt;0.9,"Green",IF(E26&gt;=0.8,"Yellow","Red")),""),"")</f>
        <v/>
      </c>
      <c r="G26" s="70" t="n"/>
      <c r="H26" s="58">
        <f>IFERROR(IF(ISNUMBER(G26),IF(G26&gt;0.9,"Green",IF(G26&gt;=0.8,"Yellow","Red")),""),"")</f>
        <v/>
      </c>
      <c r="I26" s="56" t="n"/>
      <c r="J26" s="56" t="n"/>
      <c r="K26" s="59">
        <f>IFERROR(I26/J26,"")</f>
        <v/>
      </c>
      <c r="L26" s="58">
        <f>IFERROR(IF(ISNUMBER(K26),IF(K26&gt;0.9,"Green",IF(K26&gt;=0.8,"Yellow","Red")),""),"")</f>
        <v/>
      </c>
    </row>
    <row r="27" ht="15" customHeight="1" s="35">
      <c r="A27" s="56" t="n"/>
      <c r="B27" s="56" t="n"/>
      <c r="C27" s="70" t="n"/>
      <c r="D27" s="58">
        <f>IFERROR(IF(ISNUMBER(C27),IF(C27&gt;0.9,"Green",IF(C27&gt;=0.8,"Yellow","Red")),""),"")</f>
        <v/>
      </c>
      <c r="E27" s="70" t="n"/>
      <c r="F27" s="58">
        <f>IFERROR(IF(ISNUMBER(E27),IF(E27&gt;0.9,"Green",IF(E27&gt;=0.8,"Yellow","Red")),""),"")</f>
        <v/>
      </c>
      <c r="G27" s="70" t="n"/>
      <c r="H27" s="58">
        <f>IFERROR(IF(ISNUMBER(G27),IF(G27&gt;0.9,"Green",IF(G27&gt;=0.8,"Yellow","Red")),""),"")</f>
        <v/>
      </c>
      <c r="I27" s="56" t="n"/>
      <c r="J27" s="56" t="n"/>
      <c r="K27" s="59">
        <f>IFERROR(I27/J27,"")</f>
        <v/>
      </c>
      <c r="L27" s="58">
        <f>IFERROR(IF(ISNUMBER(K27),IF(K27&gt;0.9,"Green",IF(K27&gt;=0.8,"Yellow","Red")),""),"")</f>
        <v/>
      </c>
    </row>
    <row r="28" ht="15" customHeight="1" s="35">
      <c r="A28" s="56" t="n"/>
      <c r="B28" s="56" t="n"/>
      <c r="C28" s="70" t="n"/>
      <c r="D28" s="58">
        <f>IFERROR(IF(ISNUMBER(C28),IF(C28&gt;0.9,"Green",IF(C28&gt;=0.8,"Yellow","Red")),""),"")</f>
        <v/>
      </c>
      <c r="E28" s="70" t="n"/>
      <c r="F28" s="58">
        <f>IFERROR(IF(ISNUMBER(E28),IF(E28&gt;0.9,"Green",IF(E28&gt;=0.8,"Yellow","Red")),""),"")</f>
        <v/>
      </c>
      <c r="G28" s="70" t="n"/>
      <c r="H28" s="58">
        <f>IFERROR(IF(ISNUMBER(G28),IF(G28&gt;0.9,"Green",IF(G28&gt;=0.8,"Yellow","Red")),""),"")</f>
        <v/>
      </c>
      <c r="I28" s="56" t="n"/>
      <c r="J28" s="56" t="n"/>
      <c r="K28" s="59">
        <f>IFERROR(I28/J28,"")</f>
        <v/>
      </c>
      <c r="L28" s="58">
        <f>IFERROR(IF(ISNUMBER(K28),IF(K28&gt;0.9,"Green",IF(K28&gt;=0.8,"Yellow","Red")),""),"")</f>
        <v/>
      </c>
    </row>
    <row r="29" ht="15" customHeight="1" s="35">
      <c r="A29" s="56" t="n"/>
      <c r="B29" s="56" t="n"/>
      <c r="C29" s="70" t="n"/>
      <c r="D29" s="58">
        <f>IFERROR(IF(ISNUMBER(C29),IF(C29&gt;0.9,"Green",IF(C29&gt;=0.8,"Yellow","Red")),""),"")</f>
        <v/>
      </c>
      <c r="E29" s="70" t="n"/>
      <c r="F29" s="58">
        <f>IFERROR(IF(ISNUMBER(E29),IF(E29&gt;0.9,"Green",IF(E29&gt;=0.8,"Yellow","Red")),""),"")</f>
        <v/>
      </c>
      <c r="G29" s="70" t="n"/>
      <c r="H29" s="58">
        <f>IFERROR(IF(ISNUMBER(G29),IF(G29&gt;0.9,"Green",IF(G29&gt;=0.8,"Yellow","Red")),""),"")</f>
        <v/>
      </c>
      <c r="I29" s="56" t="n"/>
      <c r="J29" s="56" t="n"/>
      <c r="K29" s="59">
        <f>IFERROR(I29/J29,"")</f>
        <v/>
      </c>
      <c r="L29" s="58">
        <f>IFERROR(IF(ISNUMBER(K29),IF(K29&gt;0.9,"Green",IF(K29&gt;=0.8,"Yellow","Red")),""),"")</f>
        <v/>
      </c>
    </row>
    <row r="32" ht="21.75" customHeight="1" s="35">
      <c r="A32" s="61" t="inlineStr">
        <is>
          <t>Table B — Events Log (feeds Events by Type and Events Timeline visuals)</t>
        </is>
      </c>
    </row>
    <row r="33" ht="31.5" customHeight="1" s="35">
      <c r="A33" s="47" t="inlineStr">
        <is>
          <t>Event Name</t>
        </is>
      </c>
      <c r="B33" s="47" t="inlineStr">
        <is>
          <t>Event Type</t>
        </is>
      </c>
      <c r="C33" s="47" t="inlineStr">
        <is>
          <t>Brand</t>
        </is>
      </c>
      <c r="D33" s="47" t="inlineStr">
        <is>
          <t>Planned Date</t>
        </is>
      </c>
      <c r="E33" s="47" t="inlineStr">
        <is>
          <t>Completion Date</t>
        </is>
      </c>
      <c r="F33" s="47" t="inlineStr">
        <is>
          <t>Status</t>
        </is>
      </c>
      <c r="G33" s="47" t="inlineStr">
        <is>
          <t>Month (auto)</t>
        </is>
      </c>
    </row>
    <row r="34" ht="15" customHeight="1" s="35">
      <c r="A34" s="52" t="inlineStr">
        <is>
          <t>Product Launch Night - Brand A</t>
        </is>
      </c>
      <c r="B34" s="52" t="inlineStr">
        <is>
          <t>6-Launch &amp; Opening</t>
        </is>
      </c>
      <c r="C34" s="52" t="inlineStr">
        <is>
          <t>Brand A</t>
        </is>
      </c>
      <c r="D34" s="62" t="inlineStr">
        <is>
          <t>2026-08-10</t>
        </is>
      </c>
      <c r="E34" s="62" t="inlineStr">
        <is>
          <t>2026-08-10</t>
        </is>
      </c>
      <c r="F34" s="52" t="inlineStr">
        <is>
          <t>Completed</t>
        </is>
      </c>
      <c r="G34" s="52">
        <f>IF(D34="","",TEXT(D34,"MMMM YYYY"))</f>
        <v/>
      </c>
    </row>
    <row r="35" ht="15" customHeight="1" s="35">
      <c r="A35" s="56" t="n"/>
      <c r="B35" s="56" t="n"/>
      <c r="C35" s="56" t="n"/>
      <c r="D35" s="63" t="n"/>
      <c r="E35" s="63" t="n"/>
      <c r="F35" s="58" t="n"/>
      <c r="G35" s="58">
        <f>IF(D35="","",TEXT(D35,"MMMM YYYY"))</f>
        <v/>
      </c>
    </row>
    <row r="36" ht="15" customHeight="1" s="35">
      <c r="A36" s="56" t="n"/>
      <c r="B36" s="56" t="n"/>
      <c r="C36" s="56" t="n"/>
      <c r="D36" s="63" t="n"/>
      <c r="E36" s="63" t="n"/>
      <c r="F36" s="58" t="n"/>
      <c r="G36" s="58">
        <f>IF(D36="","",TEXT(D36,"MMMM YYYY"))</f>
        <v/>
      </c>
    </row>
    <row r="37" ht="15" customHeight="1" s="35">
      <c r="A37" s="56" t="n"/>
      <c r="B37" s="56" t="n"/>
      <c r="C37" s="56" t="n"/>
      <c r="D37" s="63" t="n"/>
      <c r="E37" s="63" t="n"/>
      <c r="F37" s="58" t="n"/>
      <c r="G37" s="58">
        <f>IF(D37="","",TEXT(D37,"MMMM YYYY"))</f>
        <v/>
      </c>
    </row>
    <row r="38" ht="15" customHeight="1" s="35">
      <c r="A38" s="56" t="n"/>
      <c r="B38" s="56" t="n"/>
      <c r="C38" s="56" t="n"/>
      <c r="D38" s="63" t="n"/>
      <c r="E38" s="63" t="n"/>
      <c r="F38" s="58" t="n"/>
      <c r="G38" s="58">
        <f>IF(D38="","",TEXT(D38,"MMMM YYYY"))</f>
        <v/>
      </c>
    </row>
    <row r="39" ht="15" customHeight="1" s="35">
      <c r="A39" s="56" t="n"/>
      <c r="B39" s="56" t="n"/>
      <c r="C39" s="56" t="n"/>
      <c r="D39" s="63" t="n"/>
      <c r="E39" s="63" t="n"/>
      <c r="F39" s="58" t="n"/>
      <c r="G39" s="58">
        <f>IF(D39="","",TEXT(D39,"MMMM YYYY"))</f>
        <v/>
      </c>
    </row>
    <row r="40" ht="15" customHeight="1" s="35">
      <c r="A40" s="56" t="n"/>
      <c r="B40" s="56" t="n"/>
      <c r="C40" s="56" t="n"/>
      <c r="D40" s="63" t="n"/>
      <c r="E40" s="63" t="n"/>
      <c r="F40" s="58" t="n"/>
      <c r="G40" s="58">
        <f>IF(D40="","",TEXT(D40,"MMMM YYYY"))</f>
        <v/>
      </c>
    </row>
    <row r="41" ht="15" customHeight="1" s="35">
      <c r="A41" s="56" t="n"/>
      <c r="B41" s="56" t="n"/>
      <c r="C41" s="56" t="n"/>
      <c r="D41" s="63" t="n"/>
      <c r="E41" s="63" t="n"/>
      <c r="F41" s="58" t="n"/>
      <c r="G41" s="58">
        <f>IF(D41="","",TEXT(D41,"MMMM YYYY"))</f>
        <v/>
      </c>
    </row>
    <row r="42" ht="15" customHeight="1" s="35">
      <c r="A42" s="56" t="n"/>
      <c r="B42" s="56" t="n"/>
      <c r="C42" s="56" t="n"/>
      <c r="D42" s="63" t="n"/>
      <c r="E42" s="63" t="n"/>
      <c r="F42" s="58" t="n"/>
      <c r="G42" s="58">
        <f>IF(D42="","",TEXT(D42,"MMMM YYYY"))</f>
        <v/>
      </c>
    </row>
    <row r="43" ht="15" customHeight="1" s="35">
      <c r="A43" s="56" t="n"/>
      <c r="B43" s="56" t="n"/>
      <c r="C43" s="56" t="n"/>
      <c r="D43" s="63" t="n"/>
      <c r="E43" s="63" t="n"/>
      <c r="F43" s="58" t="n"/>
      <c r="G43" s="58">
        <f>IF(D43="","",TEXT(D43,"MMMM YYYY"))</f>
        <v/>
      </c>
    </row>
    <row r="44" ht="15" customHeight="1" s="35">
      <c r="A44" s="56" t="n"/>
      <c r="B44" s="56" t="n"/>
      <c r="C44" s="56" t="n"/>
      <c r="D44" s="63" t="n"/>
      <c r="E44" s="63" t="n"/>
      <c r="F44" s="58" t="n"/>
      <c r="G44" s="58">
        <f>IF(D44="","",TEXT(D44,"MMMM YYYY"))</f>
        <v/>
      </c>
    </row>
    <row r="45" ht="15" customHeight="1" s="35">
      <c r="A45" s="56" t="n"/>
      <c r="B45" s="56" t="n"/>
      <c r="C45" s="56" t="n"/>
      <c r="D45" s="63" t="n"/>
      <c r="E45" s="63" t="n"/>
      <c r="F45" s="58" t="n"/>
      <c r="G45" s="58">
        <f>IF(D45="","",TEXT(D45,"MMMM YYYY"))</f>
        <v/>
      </c>
    </row>
    <row r="46" ht="15" customHeight="1" s="35">
      <c r="A46" s="56" t="n"/>
      <c r="B46" s="56" t="n"/>
      <c r="C46" s="56" t="n"/>
      <c r="D46" s="63" t="n"/>
      <c r="E46" s="63" t="n"/>
      <c r="F46" s="58" t="n"/>
      <c r="G46" s="58">
        <f>IF(D46="","",TEXT(D46,"MMMM YYYY"))</f>
        <v/>
      </c>
    </row>
    <row r="47" ht="15" customHeight="1" s="35">
      <c r="A47" s="56" t="n"/>
      <c r="B47" s="56" t="n"/>
      <c r="C47" s="56" t="n"/>
      <c r="D47" s="63" t="n"/>
      <c r="E47" s="63" t="n"/>
      <c r="F47" s="58" t="n"/>
      <c r="G47" s="58">
        <f>IF(D47="","",TEXT(D47,"MMMM YYYY"))</f>
        <v/>
      </c>
    </row>
    <row r="48" ht="15" customHeight="1" s="35">
      <c r="A48" s="56" t="n"/>
      <c r="B48" s="56" t="n"/>
      <c r="C48" s="56" t="n"/>
      <c r="D48" s="63" t="n"/>
      <c r="E48" s="63" t="n"/>
      <c r="F48" s="58" t="n"/>
      <c r="G48" s="58">
        <f>IF(D48="","",TEXT(D48,"MMMM YYYY"))</f>
        <v/>
      </c>
    </row>
    <row r="49" ht="15" customHeight="1" s="35">
      <c r="A49" s="56" t="n"/>
      <c r="B49" s="56" t="n"/>
      <c r="C49" s="56" t="n"/>
      <c r="D49" s="63" t="n"/>
      <c r="E49" s="63" t="n"/>
      <c r="F49" s="58" t="n"/>
      <c r="G49" s="58">
        <f>IF(D49="","",TEXT(D49,"MMMM YYYY"))</f>
        <v/>
      </c>
    </row>
    <row r="50" ht="15" customHeight="1" s="35">
      <c r="A50" s="56" t="n"/>
      <c r="B50" s="56" t="n"/>
      <c r="C50" s="56" t="n"/>
      <c r="D50" s="63" t="n"/>
      <c r="E50" s="63" t="n"/>
      <c r="F50" s="58" t="n"/>
      <c r="G50" s="58">
        <f>IF(D50="","",TEXT(D50,"MMMM YYYY"))</f>
        <v/>
      </c>
    </row>
    <row r="51" ht="15" customHeight="1" s="35">
      <c r="A51" s="56" t="n"/>
      <c r="B51" s="56" t="n"/>
      <c r="C51" s="56" t="n"/>
      <c r="D51" s="63" t="n"/>
      <c r="E51" s="63" t="n"/>
      <c r="F51" s="58" t="n"/>
      <c r="G51" s="58">
        <f>IF(D51="","",TEXT(D51,"MMMM YYYY"))</f>
        <v/>
      </c>
    </row>
    <row r="52" ht="15" customHeight="1" s="35">
      <c r="A52" s="56" t="n"/>
      <c r="B52" s="56" t="n"/>
      <c r="C52" s="56" t="n"/>
      <c r="D52" s="63" t="n"/>
      <c r="E52" s="63" t="n"/>
      <c r="F52" s="58" t="n"/>
      <c r="G52" s="58">
        <f>IF(D52="","",TEXT(D52,"MMMM YYYY"))</f>
        <v/>
      </c>
    </row>
    <row r="53" ht="15" customHeight="1" s="35">
      <c r="A53" s="56" t="n"/>
      <c r="B53" s="56" t="n"/>
      <c r="C53" s="56" t="n"/>
      <c r="D53" s="63" t="n"/>
      <c r="E53" s="63" t="n"/>
      <c r="F53" s="58" t="n"/>
      <c r="G53" s="58">
        <f>IF(D53="","",TEXT(D53,"MMMM YYYY"))</f>
        <v/>
      </c>
    </row>
    <row r="54" ht="15" customHeight="1" s="35">
      <c r="A54" s="56" t="n"/>
      <c r="B54" s="56" t="n"/>
      <c r="C54" s="56" t="n"/>
      <c r="D54" s="63" t="n"/>
      <c r="E54" s="63" t="n"/>
      <c r="F54" s="58" t="n"/>
      <c r="G54" s="58">
        <f>IF(D54="","",TEXT(D54,"MMMM YYYY"))</f>
        <v/>
      </c>
    </row>
    <row r="55" ht="15" customHeight="1" s="35">
      <c r="A55" s="56" t="n"/>
      <c r="B55" s="56" t="n"/>
      <c r="C55" s="56" t="n"/>
      <c r="D55" s="63" t="n"/>
      <c r="E55" s="63" t="n"/>
      <c r="F55" s="58" t="n"/>
      <c r="G55" s="58">
        <f>IF(D55="","",TEXT(D55,"MMMM YYYY"))</f>
        <v/>
      </c>
    </row>
    <row r="56" ht="15" customHeight="1" s="35">
      <c r="A56" s="56" t="n"/>
      <c r="B56" s="56" t="n"/>
      <c r="C56" s="56" t="n"/>
      <c r="D56" s="63" t="n"/>
      <c r="E56" s="63" t="n"/>
      <c r="F56" s="58" t="n"/>
      <c r="G56" s="58">
        <f>IF(D56="","",TEXT(D56,"MMMM YYYY"))</f>
        <v/>
      </c>
    </row>
    <row r="57" ht="15" customHeight="1" s="35">
      <c r="A57" s="56" t="n"/>
      <c r="B57" s="56" t="n"/>
      <c r="C57" s="56" t="n"/>
      <c r="D57" s="63" t="n"/>
      <c r="E57" s="63" t="n"/>
      <c r="F57" s="58" t="n"/>
      <c r="G57" s="58">
        <f>IF(D57="","",TEXT(D57,"MMMM YYYY"))</f>
        <v/>
      </c>
    </row>
    <row r="58" ht="15" customHeight="1" s="35">
      <c r="A58" s="56" t="n"/>
      <c r="B58" s="56" t="n"/>
      <c r="C58" s="56" t="n"/>
      <c r="D58" s="63" t="n"/>
      <c r="E58" s="63" t="n"/>
      <c r="F58" s="58" t="n"/>
      <c r="G58" s="58">
        <f>IF(D58="","",TEXT(D58,"MMMM YYYY"))</f>
        <v/>
      </c>
    </row>
    <row r="59" ht="15" customHeight="1" s="35">
      <c r="A59" s="56" t="n"/>
      <c r="B59" s="56" t="n"/>
      <c r="C59" s="56" t="n"/>
      <c r="D59" s="63" t="n"/>
      <c r="E59" s="63" t="n"/>
      <c r="F59" s="58" t="n"/>
      <c r="G59" s="58">
        <f>IF(D59="","",TEXT(D59,"MMMM YYYY"))</f>
        <v/>
      </c>
    </row>
    <row r="60" ht="15" customHeight="1" s="35">
      <c r="A60" s="56" t="n"/>
      <c r="B60" s="56" t="n"/>
      <c r="C60" s="56" t="n"/>
      <c r="D60" s="63" t="n"/>
      <c r="E60" s="63" t="n"/>
      <c r="F60" s="58" t="n"/>
      <c r="G60" s="58">
        <f>IF(D60="","",TEXT(D60,"MMMM YYYY"))</f>
        <v/>
      </c>
    </row>
    <row r="61" ht="15" customHeight="1" s="35">
      <c r="A61" s="56" t="n"/>
      <c r="B61" s="56" t="n"/>
      <c r="C61" s="56" t="n"/>
      <c r="D61" s="63" t="n"/>
      <c r="E61" s="63" t="n"/>
      <c r="F61" s="58" t="n"/>
      <c r="G61" s="58">
        <f>IF(D61="","",TEXT(D61,"MMMM YYYY"))</f>
        <v/>
      </c>
    </row>
    <row r="62" ht="15" customHeight="1" s="35">
      <c r="A62" s="56" t="n"/>
      <c r="B62" s="56" t="n"/>
      <c r="C62" s="56" t="n"/>
      <c r="D62" s="63" t="n"/>
      <c r="E62" s="63" t="n"/>
      <c r="F62" s="58" t="n"/>
      <c r="G62" s="58">
        <f>IF(D62="","",TEXT(D62,"MMMM YYYY"))</f>
        <v/>
      </c>
    </row>
    <row r="63" ht="15" customHeight="1" s="35">
      <c r="A63" s="56" t="n"/>
      <c r="B63" s="56" t="n"/>
      <c r="C63" s="56" t="n"/>
      <c r="D63" s="63" t="n"/>
      <c r="E63" s="63" t="n"/>
      <c r="F63" s="58" t="n"/>
      <c r="G63" s="58">
        <f>IF(D63="","",TEXT(D63,"MMMM YYYY"))</f>
        <v/>
      </c>
    </row>
  </sheetData>
  <mergeCells count="5">
    <mergeCell ref="A32:G32"/>
    <mergeCell ref="A2:L2"/>
    <mergeCell ref="A1:L1"/>
    <mergeCell ref="A3:L3"/>
    <mergeCell ref="A4:L4"/>
  </mergeCells>
  <conditionalFormatting sqref="D6:D29">
    <cfRule type="cellIs" rank="0" priority="2" equalAverage="0" operator="equal" aboveAverage="0" dxfId="0" text="" percent="0" bottom="0">
      <formula>"Green"</formula>
    </cfRule>
    <cfRule type="cellIs" rank="0" priority="3" equalAverage="0" operator="equal" aboveAverage="0" dxfId="1" text="" percent="0" bottom="0">
      <formula>"Yellow"</formula>
    </cfRule>
    <cfRule type="cellIs" rank="0" priority="4" equalAverage="0" operator="equal" aboveAverage="0" dxfId="2" text="" percent="0" bottom="0">
      <formula>"Red"</formula>
    </cfRule>
  </conditionalFormatting>
  <conditionalFormatting sqref="F6:F29">
    <cfRule type="cellIs" rank="0" priority="5" equalAverage="0" operator="equal" aboveAverage="0" dxfId="0" text="" percent="0" bottom="0">
      <formula>"Green"</formula>
    </cfRule>
    <cfRule type="cellIs" rank="0" priority="6" equalAverage="0" operator="equal" aboveAverage="0" dxfId="1" text="" percent="0" bottom="0">
      <formula>"Yellow"</formula>
    </cfRule>
    <cfRule type="cellIs" rank="0" priority="7" equalAverage="0" operator="equal" aboveAverage="0" dxfId="2" text="" percent="0" bottom="0">
      <formula>"Red"</formula>
    </cfRule>
  </conditionalFormatting>
  <conditionalFormatting sqref="H6:H29">
    <cfRule type="cellIs" rank="0" priority="8" equalAverage="0" operator="equal" aboveAverage="0" dxfId="0" text="" percent="0" bottom="0">
      <formula>"Green"</formula>
    </cfRule>
    <cfRule type="cellIs" rank="0" priority="9" equalAverage="0" operator="equal" aboveAverage="0" dxfId="1" text="" percent="0" bottom="0">
      <formula>"Yellow"</formula>
    </cfRule>
    <cfRule type="cellIs" rank="0" priority="10" equalAverage="0" operator="equal" aboveAverage="0" dxfId="2" text="" percent="0" bottom="0">
      <formula>"Red"</formula>
    </cfRule>
  </conditionalFormatting>
  <conditionalFormatting sqref="L6:L29">
    <cfRule type="cellIs" rank="0" priority="11" equalAverage="0" operator="equal" aboveAverage="0" dxfId="0" text="" percent="0" bottom="0">
      <formula>"Green"</formula>
    </cfRule>
    <cfRule type="cellIs" rank="0" priority="12" equalAverage="0" operator="equal" aboveAverage="0" dxfId="1" text="" percent="0" bottom="0">
      <formula>"Yellow"</formula>
    </cfRule>
    <cfRule type="cellIs" rank="0" priority="13" equalAverage="0" operator="equal" aboveAverage="0" dxfId="2" text="" percent="0" bottom="0">
      <formula>"Red"</formula>
    </cfRule>
  </conditionalFormatting>
  <dataValidations count="4">
    <dataValidation sqref="B6:B29" showDropDown="0" showInputMessage="0" showErrorMessage="0" allowBlank="1" errorTitle="Invalid entry" error="Please choose a value from the dropdown list." type="list" errorStyle="stop" operator="between">
      <formula1>Lists!$B$2:$B$13</formula1>
      <formula2>0</formula2>
    </dataValidation>
    <dataValidation sqref="B34:B63" showDropDown="0" showInputMessage="0" showErrorMessage="0" allowBlank="1" errorTitle="Invalid entry" error="Please choose a value from the dropdown list." type="list" errorStyle="stop" operator="between">
      <formula1>Lists!$F$2:$F$9</formula1>
      <formula2>0</formula2>
    </dataValidation>
    <dataValidation sqref="C34:C63" showDropDown="0" showInputMessage="0" showErrorMessage="0" allowBlank="1" errorTitle="Invalid entry" error="Please choose a value from the dropdown list." type="list" errorStyle="stop" operator="between">
      <formula1>Lists!$A$2:$A$5</formula1>
      <formula2>0</formula2>
    </dataValidation>
    <dataValidation sqref="F34:F63" showDropDown="0" showInputMessage="0" showErrorMessage="0" allowBlank="1" errorTitle="Invalid entry" error="Please choose a value from the dropdown list." type="list" errorStyle="stop" operator="between">
      <formula1>Lists!$G$2:$G$5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4" min="1" max="7"/>
    <col width="16" customWidth="1" style="35" min="8" max="8"/>
  </cols>
  <sheetData>
    <row r="1" ht="15" customHeight="1" s="35">
      <c r="A1" s="71" t="inlineStr">
        <is>
          <t>Brand</t>
        </is>
      </c>
      <c r="B1" s="71" t="inlineStr">
        <is>
          <t>Month</t>
        </is>
      </c>
      <c r="C1" s="71" t="inlineStr">
        <is>
          <t>Platform</t>
        </is>
      </c>
      <c r="D1" s="71" t="inlineStr">
        <is>
          <t>OOH_Type</t>
        </is>
      </c>
      <c r="E1" s="71" t="inlineStr">
        <is>
          <t>Campaign_Status</t>
        </is>
      </c>
      <c r="F1" s="71" t="inlineStr">
        <is>
          <t>Event_Type</t>
        </is>
      </c>
      <c r="G1" s="71" t="inlineStr">
        <is>
          <t>Event_Status</t>
        </is>
      </c>
      <c r="H1" s="72" t="inlineStr">
        <is>
          <t>City</t>
        </is>
      </c>
    </row>
    <row r="2" ht="15" customHeight="1" s="35">
      <c r="A2" s="34" t="inlineStr">
        <is>
          <t>Brand A</t>
        </is>
      </c>
      <c r="B2" s="34" t="inlineStr">
        <is>
          <t>January</t>
        </is>
      </c>
      <c r="C2" s="34" t="inlineStr">
        <is>
          <t>Facebook</t>
        </is>
      </c>
      <c r="D2" s="34" t="inlineStr">
        <is>
          <t>1-Street Lights</t>
        </is>
      </c>
      <c r="E2" s="34" t="inlineStr">
        <is>
          <t>Planned</t>
        </is>
      </c>
      <c r="F2" s="34" t="inlineStr">
        <is>
          <t>1-Professionals</t>
        </is>
      </c>
      <c r="G2" s="34" t="inlineStr">
        <is>
          <t>Planned</t>
        </is>
      </c>
      <c r="H2" t="inlineStr">
        <is>
          <t>Tripoli</t>
        </is>
      </c>
    </row>
    <row r="3" ht="15" customHeight="1" s="35">
      <c r="A3" s="34" t="inlineStr">
        <is>
          <t>Brand B</t>
        </is>
      </c>
      <c r="B3" s="34" t="inlineStr">
        <is>
          <t>February</t>
        </is>
      </c>
      <c r="C3" s="34" t="inlineStr">
        <is>
          <t>Google</t>
        </is>
      </c>
      <c r="D3" s="34" t="inlineStr">
        <is>
          <t>2-Mega Billboards</t>
        </is>
      </c>
      <c r="E3" s="34" t="inlineStr">
        <is>
          <t>Ongoing</t>
        </is>
      </c>
      <c r="F3" s="34" t="inlineStr">
        <is>
          <t>2-Architects/Designers</t>
        </is>
      </c>
      <c r="G3" s="34" t="inlineStr">
        <is>
          <t>Completed</t>
        </is>
      </c>
      <c r="H3" t="inlineStr">
        <is>
          <t>Benghazi</t>
        </is>
      </c>
    </row>
    <row r="4" ht="15" customHeight="1" s="35">
      <c r="A4" s="34" t="inlineStr">
        <is>
          <t>Brand C</t>
        </is>
      </c>
      <c r="B4" s="34" t="inlineStr">
        <is>
          <t>March</t>
        </is>
      </c>
      <c r="C4" s="34" t="inlineStr">
        <is>
          <t>LinkedIn</t>
        </is>
      </c>
      <c r="D4" s="34" t="inlineStr">
        <is>
          <t>3-Billboards</t>
        </is>
      </c>
      <c r="E4" s="34" t="inlineStr">
        <is>
          <t>Completed</t>
        </is>
      </c>
      <c r="F4" s="34" t="inlineStr">
        <is>
          <t>3-Corporate</t>
        </is>
      </c>
      <c r="G4" s="34" t="inlineStr">
        <is>
          <t>Postponed</t>
        </is>
      </c>
      <c r="H4" t="inlineStr">
        <is>
          <t>Misrata</t>
        </is>
      </c>
    </row>
    <row r="5" ht="15" customHeight="1" s="35">
      <c r="A5" s="34" t="inlineStr">
        <is>
          <t>Brand D</t>
        </is>
      </c>
      <c r="B5" s="34" t="inlineStr">
        <is>
          <t>April</t>
        </is>
      </c>
      <c r="C5" s="34" t="inlineStr">
        <is>
          <t>Instagram</t>
        </is>
      </c>
      <c r="D5" s="34" t="inlineStr">
        <is>
          <t>4-Bridge Banners</t>
        </is>
      </c>
      <c r="E5" s="34" t="inlineStr">
        <is>
          <t>On Hold</t>
        </is>
      </c>
      <c r="F5" s="34" t="inlineStr">
        <is>
          <t>4-CSR</t>
        </is>
      </c>
      <c r="G5" s="34" t="inlineStr">
        <is>
          <t>Cancelled</t>
        </is>
      </c>
      <c r="H5" t="inlineStr">
        <is>
          <t>Zawiya</t>
        </is>
      </c>
    </row>
    <row r="6" ht="15" customHeight="1" s="35">
      <c r="B6" s="34" t="inlineStr">
        <is>
          <t>May</t>
        </is>
      </c>
      <c r="C6" s="34" t="inlineStr">
        <is>
          <t>TikTok</t>
        </is>
      </c>
      <c r="D6" s="34" t="inlineStr">
        <is>
          <t>5-Light Screen</t>
        </is>
      </c>
      <c r="F6" s="34" t="inlineStr">
        <is>
          <t>5-Entertainment</t>
        </is>
      </c>
      <c r="H6" t="inlineStr">
        <is>
          <t>Zliten</t>
        </is>
      </c>
    </row>
    <row r="7" ht="15" customHeight="1" s="35">
      <c r="B7" s="34" t="inlineStr">
        <is>
          <t>June</t>
        </is>
      </c>
      <c r="F7" s="34" t="inlineStr">
        <is>
          <t>6-Launch &amp; Opening</t>
        </is>
      </c>
      <c r="H7" t="inlineStr">
        <is>
          <t>Khoms</t>
        </is>
      </c>
    </row>
    <row r="8" ht="15" customHeight="1" s="35">
      <c r="B8" s="34" t="inlineStr">
        <is>
          <t>July</t>
        </is>
      </c>
      <c r="F8" s="34" t="inlineStr">
        <is>
          <t>7-Internal/Trainings</t>
        </is>
      </c>
      <c r="H8" t="inlineStr">
        <is>
          <t>Sirte</t>
        </is>
      </c>
    </row>
    <row r="9" ht="15" customHeight="1" s="35">
      <c r="B9" s="34" t="inlineStr">
        <is>
          <t>August</t>
        </is>
      </c>
      <c r="F9" s="34" t="inlineStr">
        <is>
          <t>8-Exhibitions</t>
        </is>
      </c>
      <c r="H9" t="inlineStr">
        <is>
          <t>Bayda</t>
        </is>
      </c>
    </row>
    <row r="10" ht="15" customHeight="1" s="35">
      <c r="B10" s="34" t="inlineStr">
        <is>
          <t>September</t>
        </is>
      </c>
      <c r="H10" t="inlineStr">
        <is>
          <t>Tobruk</t>
        </is>
      </c>
    </row>
    <row r="11" ht="15" customHeight="1" s="35">
      <c r="B11" s="34" t="inlineStr">
        <is>
          <t>October</t>
        </is>
      </c>
      <c r="H11" t="inlineStr">
        <is>
          <t>Derna</t>
        </is>
      </c>
    </row>
    <row r="12" ht="15" customHeight="1" s="35">
      <c r="B12" s="34" t="inlineStr">
        <is>
          <t>November</t>
        </is>
      </c>
      <c r="H12" t="inlineStr">
        <is>
          <t>Ajdabiya</t>
        </is>
      </c>
    </row>
    <row r="13" ht="15" customHeight="1" s="35">
      <c r="B13" s="34" t="inlineStr">
        <is>
          <t>December</t>
        </is>
      </c>
      <c r="H13" t="inlineStr">
        <is>
          <t>Marj</t>
        </is>
      </c>
    </row>
    <row r="14">
      <c r="H14" t="inlineStr">
        <is>
          <t>Brega</t>
        </is>
      </c>
    </row>
    <row r="15">
      <c r="H15" t="inlineStr">
        <is>
          <t>Sabha</t>
        </is>
      </c>
    </row>
    <row r="16">
      <c r="H16" t="inlineStr">
        <is>
          <t>Gharyan</t>
        </is>
      </c>
    </row>
    <row r="17">
      <c r="H17" t="inlineStr">
        <is>
          <t>Zuwara</t>
        </is>
      </c>
    </row>
    <row r="18">
      <c r="H18" t="inlineStr">
        <is>
          <t>Sabratha</t>
        </is>
      </c>
    </row>
    <row r="19">
      <c r="H19" t="inlineStr">
        <is>
          <t>Surman</t>
        </is>
      </c>
    </row>
    <row r="20">
      <c r="H20" t="inlineStr">
        <is>
          <t>Tarhuna</t>
        </is>
      </c>
    </row>
    <row r="21">
      <c r="H21" t="inlineStr">
        <is>
          <t>Bani Walid</t>
        </is>
      </c>
    </row>
    <row r="22">
      <c r="H22" t="inlineStr">
        <is>
          <t>Yafran</t>
        </is>
      </c>
    </row>
    <row r="23">
      <c r="H23" t="inlineStr">
        <is>
          <t>Nalut</t>
        </is>
      </c>
    </row>
    <row r="24">
      <c r="H24" t="inlineStr">
        <is>
          <t>Ghadames</t>
        </is>
      </c>
    </row>
    <row r="25">
      <c r="H25" t="inlineStr">
        <is>
          <t>Jalu</t>
        </is>
      </c>
    </row>
    <row r="26">
      <c r="H26" t="inlineStr">
        <is>
          <t>Waddan</t>
        </is>
      </c>
    </row>
    <row r="27">
      <c r="H27" t="inlineStr">
        <is>
          <t>Hun</t>
        </is>
      </c>
    </row>
    <row r="28">
      <c r="H28" t="inlineStr">
        <is>
          <t>Ubari</t>
        </is>
      </c>
    </row>
    <row r="29">
      <c r="H29" t="inlineStr">
        <is>
          <t>Murzuq</t>
        </is>
      </c>
    </row>
    <row r="30">
      <c r="H30" t="inlineStr">
        <is>
          <t>Ghat</t>
        </is>
      </c>
    </row>
    <row r="31">
      <c r="H31" t="inlineStr">
        <is>
          <t>Kufra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2026-09-17T08:03:11Z</dcterms:created>
  <dcterms:modified xmlns:dcterms="http://purl.org/dc/terms/" xmlns:xsi="http://www.w3.org/2001/XMLSchema-instance" xsi:type="dcterms:W3CDTF">2026-10-26T10:54:32Z</dcterms:modified>
  <cp:revision>0</cp:revision>
</cp:coreProperties>
</file>